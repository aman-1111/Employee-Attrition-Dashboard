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https://d.docs.live.net/d027a298505361d5/Desktop/EXCEL EMPLOYEE ATTRITION/"/>
    </mc:Choice>
  </mc:AlternateContent>
  <xr:revisionPtr revIDLastSave="0" documentId="8_{8A755CAF-3FD7-42C2-856A-52A22876B94A}" xr6:coauthVersionLast="47" xr6:coauthVersionMax="47" xr10:uidLastSave="{00000000-0000-0000-0000-000000000000}"/>
  <bookViews>
    <workbookView xWindow="-108" yWindow="-108" windowWidth="23256" windowHeight="12456" activeTab="3" xr2:uid="{7B31445D-8663-4F64-8CC1-846CE6AA9225}"/>
  </bookViews>
  <sheets>
    <sheet name="Sheet1" sheetId="1" r:id="rId1"/>
    <sheet name="Sheet2" sheetId="2" r:id="rId2"/>
    <sheet name="Analysis_Pivots" sheetId="3" r:id="rId3"/>
    <sheet name="Employee Attrition Dashboard" sheetId="4" r:id="rId4"/>
  </sheets>
  <definedNames>
    <definedName name="_xlnm._FilterDatabase" localSheetId="0" hidden="1">Sheet1!$A$1:$J$200</definedName>
    <definedName name="Slicer_Attrition_Status">#N/A</definedName>
    <definedName name="Slicer_Department">#N/A</definedName>
    <definedName name="Slicer_Job_Role">#N/A</definedName>
    <definedName name="Slicer_Salary_Band">#N/A</definedName>
  </definedNames>
  <calcPr calcId="191029"/>
  <pivotCaches>
    <pivotCache cacheId="1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2" l="1"/>
  <c r="I3" i="2"/>
  <c r="G3" i="2"/>
  <c r="C3" i="2"/>
  <c r="A3" i="2"/>
  <c r="M3" i="1"/>
  <c r="M4" i="1"/>
  <c r="M5" i="1"/>
  <c r="M6" i="1"/>
  <c r="M7" i="1"/>
  <c r="M8" i="1"/>
  <c r="M9" i="1"/>
  <c r="M10" i="1"/>
  <c r="M11" i="1"/>
  <c r="M12" i="1"/>
  <c r="M13" i="1"/>
  <c r="M14" i="1"/>
  <c r="M15" i="1"/>
  <c r="M16" i="1"/>
  <c r="M17" i="1"/>
  <c r="M18" i="1"/>
  <c r="M2" i="1"/>
  <c r="L3" i="1"/>
  <c r="L4" i="1"/>
  <c r="L5" i="1"/>
  <c r="L6" i="1"/>
  <c r="L7" i="1"/>
  <c r="L8" i="1"/>
  <c r="L9" i="1"/>
  <c r="L10" i="1"/>
  <c r="L11" i="1"/>
  <c r="L12" i="1"/>
  <c r="L13" i="1"/>
  <c r="L14" i="1"/>
  <c r="L15" i="1"/>
  <c r="L16" i="1"/>
  <c r="L17" i="1"/>
  <c r="L18" i="1"/>
  <c r="L2" i="1"/>
  <c r="K3" i="1"/>
  <c r="K4" i="1"/>
  <c r="K5" i="1"/>
  <c r="K6" i="1"/>
  <c r="K7" i="1"/>
  <c r="K8" i="1"/>
  <c r="K9" i="1"/>
  <c r="K10" i="1"/>
  <c r="K11" i="1"/>
  <c r="K12" i="1"/>
  <c r="K13" i="1"/>
  <c r="K14" i="1"/>
  <c r="K15" i="1"/>
  <c r="K16" i="1"/>
  <c r="K17" i="1"/>
  <c r="K18" i="1"/>
  <c r="K2" i="1"/>
</calcChain>
</file>

<file path=xl/sharedStrings.xml><?xml version="1.0" encoding="utf-8"?>
<sst xmlns="http://schemas.openxmlformats.org/spreadsheetml/2006/main" count="123" uniqueCount="48">
  <si>
    <t>Employee_ID</t>
  </si>
  <si>
    <t>Age</t>
  </si>
  <si>
    <t>Gender</t>
  </si>
  <si>
    <t>Department</t>
  </si>
  <si>
    <t>Job_Role</t>
  </si>
  <si>
    <t>Salary</t>
  </si>
  <si>
    <t>Performance_Rating</t>
  </si>
  <si>
    <t>Years_At_Company</t>
  </si>
  <si>
    <t>Satisfaction</t>
  </si>
  <si>
    <t>Attrition</t>
  </si>
  <si>
    <t>E001</t>
  </si>
  <si>
    <t>Male</t>
  </si>
  <si>
    <t>Sales</t>
  </si>
  <si>
    <t>Executive</t>
  </si>
  <si>
    <t>Yes</t>
  </si>
  <si>
    <t>E002</t>
  </si>
  <si>
    <t>Female</t>
  </si>
  <si>
    <t>Manager</t>
  </si>
  <si>
    <t>No</t>
  </si>
  <si>
    <t>E003</t>
  </si>
  <si>
    <t>Developer</t>
  </si>
  <si>
    <t>E004</t>
  </si>
  <si>
    <t>E005</t>
  </si>
  <si>
    <t>E006</t>
  </si>
  <si>
    <t>E007</t>
  </si>
  <si>
    <t>E008</t>
  </si>
  <si>
    <t>E009</t>
  </si>
  <si>
    <t>E010</t>
  </si>
  <si>
    <t>E011</t>
  </si>
  <si>
    <t>E012</t>
  </si>
  <si>
    <t>E013</t>
  </si>
  <si>
    <t>E014</t>
  </si>
  <si>
    <t>E015</t>
  </si>
  <si>
    <t>E016</t>
  </si>
  <si>
    <t>E017</t>
  </si>
  <si>
    <t>Hr</t>
  </si>
  <si>
    <t>It</t>
  </si>
  <si>
    <t>Attrition_Status</t>
  </si>
  <si>
    <t>Salary_Band</t>
  </si>
  <si>
    <t>Tenure_Group</t>
  </si>
  <si>
    <t>Row Labels</t>
  </si>
  <si>
    <t>Grand Total</t>
  </si>
  <si>
    <t>Count of Attrition_Status</t>
  </si>
  <si>
    <t>High</t>
  </si>
  <si>
    <t>Column Labels</t>
  </si>
  <si>
    <t>Active</t>
  </si>
  <si>
    <t>Count of Employee_ID</t>
  </si>
  <si>
    <t>Employee Attrition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</si>
</sst>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b/>
      <sz val="26"/>
      <color theme="1"/>
      <name val="Calibri"/>
      <family val="2"/>
      <scheme val="minor"/>
    </font>
  </fonts>
  <fills count="3">
    <fill>
      <patternFill patternType="none"/>
    </fill>
    <fill>
      <patternFill patternType="gray125"/>
    </fill>
    <fill>
      <patternFill patternType="solid">
        <fgColor theme="7" tint="0.399975585192419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3" fillId="2" borderId="0" xfId="0" applyFont="1" applyFill="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^L0 Performance Analysis.xlsx]Analysis_Pivots!PivotTable4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Analysis_Pivots!$L$3:$L$4</c:f>
              <c:strCache>
                <c:ptCount val="1"/>
                <c:pt idx="0">
                  <c:v>Active</c:v>
                </c:pt>
              </c:strCache>
            </c:strRef>
          </c:tx>
          <c:spPr>
            <a:solidFill>
              <a:schemeClr val="accent1"/>
            </a:solidFill>
            <a:ln>
              <a:noFill/>
            </a:ln>
            <a:effectLst/>
          </c:spPr>
          <c:invertIfNegative val="0"/>
          <c:cat>
            <c:strRef>
              <c:f>Analysis_Pivots!$K$5:$K$11</c:f>
              <c:strCache>
                <c:ptCount val="6"/>
                <c:pt idx="0">
                  <c:v>-4.5</c:v>
                </c:pt>
                <c:pt idx="1">
                  <c:v>-3</c:v>
                </c:pt>
                <c:pt idx="2">
                  <c:v>-1.5</c:v>
                </c:pt>
                <c:pt idx="3">
                  <c:v>0</c:v>
                </c:pt>
                <c:pt idx="4">
                  <c:v>1.5</c:v>
                </c:pt>
                <c:pt idx="5">
                  <c:v>4</c:v>
                </c:pt>
              </c:strCache>
            </c:strRef>
          </c:cat>
          <c:val>
            <c:numRef>
              <c:f>Analysis_Pivots!$L$5:$L$11</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E7F6-4507-8342-7E2F3A5DB897}"/>
            </c:ext>
          </c:extLst>
        </c:ser>
        <c:dLbls>
          <c:showLegendKey val="0"/>
          <c:showVal val="0"/>
          <c:showCatName val="0"/>
          <c:showSerName val="0"/>
          <c:showPercent val="0"/>
          <c:showBubbleSize val="0"/>
        </c:dLbls>
        <c:gapWidth val="182"/>
        <c:axId val="2072486799"/>
        <c:axId val="2072487759"/>
      </c:barChart>
      <c:catAx>
        <c:axId val="2072486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487759"/>
        <c:crosses val="autoZero"/>
        <c:auto val="1"/>
        <c:lblAlgn val="ctr"/>
        <c:lblOffset val="100"/>
        <c:noMultiLvlLbl val="0"/>
      </c:catAx>
      <c:valAx>
        <c:axId val="20724877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486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^L0 Performance Analysis.xlsx]Analysis_Pivots!PivotTable3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Analysis_Pivots!$I$3</c:f>
              <c:strCache>
                <c:ptCount val="1"/>
                <c:pt idx="0">
                  <c:v>Total</c:v>
                </c:pt>
              </c:strCache>
            </c:strRef>
          </c:tx>
          <c:spPr>
            <a:solidFill>
              <a:schemeClr val="accent1"/>
            </a:solidFill>
            <a:ln>
              <a:noFill/>
            </a:ln>
            <a:effectLst/>
          </c:spPr>
          <c:invertIfNegative val="0"/>
          <c:cat>
            <c:strRef>
              <c:f>Analysis_Pivots!$H$4:$H$5</c:f>
              <c:strCache>
                <c:ptCount val="1"/>
                <c:pt idx="0">
                  <c:v>High</c:v>
                </c:pt>
              </c:strCache>
            </c:strRef>
          </c:cat>
          <c:val>
            <c:numRef>
              <c:f>Analysis_Pivots!$I$4:$I$5</c:f>
              <c:numCache>
                <c:formatCode>General</c:formatCode>
                <c:ptCount val="1"/>
                <c:pt idx="0">
                  <c:v>6</c:v>
                </c:pt>
              </c:numCache>
            </c:numRef>
          </c:val>
          <c:extLst>
            <c:ext xmlns:c16="http://schemas.microsoft.com/office/drawing/2014/chart" uri="{C3380CC4-5D6E-409C-BE32-E72D297353CC}">
              <c16:uniqueId val="{00000000-23B7-4D4A-A44A-CB787BAE699E}"/>
            </c:ext>
          </c:extLst>
        </c:ser>
        <c:dLbls>
          <c:showLegendKey val="0"/>
          <c:showVal val="0"/>
          <c:showCatName val="0"/>
          <c:showSerName val="0"/>
          <c:showPercent val="0"/>
          <c:showBubbleSize val="0"/>
        </c:dLbls>
        <c:gapWidth val="219"/>
        <c:overlap val="-27"/>
        <c:axId val="2139465087"/>
        <c:axId val="2139467487"/>
      </c:barChart>
      <c:catAx>
        <c:axId val="2139465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467487"/>
        <c:crosses val="autoZero"/>
        <c:auto val="1"/>
        <c:lblAlgn val="ctr"/>
        <c:lblOffset val="100"/>
        <c:noMultiLvlLbl val="0"/>
      </c:catAx>
      <c:valAx>
        <c:axId val="2139467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465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^L0 Performance Analysis.xlsx]Analysis_Pivots!PivotTable2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Analysis_Pivots!$F$3</c:f>
              <c:strCache>
                <c:ptCount val="1"/>
                <c:pt idx="0">
                  <c:v>Total</c:v>
                </c:pt>
              </c:strCache>
            </c:strRef>
          </c:tx>
          <c:spPr>
            <a:solidFill>
              <a:schemeClr val="accent1"/>
            </a:solidFill>
            <a:ln>
              <a:noFill/>
            </a:ln>
            <a:effectLst/>
          </c:spPr>
          <c:invertIfNegative val="0"/>
          <c:cat>
            <c:strRef>
              <c:f>Analysis_Pivots!$E$4:$E$5</c:f>
              <c:strCache>
                <c:ptCount val="1"/>
                <c:pt idx="0">
                  <c:v>Manager</c:v>
                </c:pt>
              </c:strCache>
            </c:strRef>
          </c:cat>
          <c:val>
            <c:numRef>
              <c:f>Analysis_Pivots!$F$4:$F$5</c:f>
              <c:numCache>
                <c:formatCode>General</c:formatCode>
                <c:ptCount val="1"/>
                <c:pt idx="0">
                  <c:v>6</c:v>
                </c:pt>
              </c:numCache>
            </c:numRef>
          </c:val>
          <c:extLst>
            <c:ext xmlns:c16="http://schemas.microsoft.com/office/drawing/2014/chart" uri="{C3380CC4-5D6E-409C-BE32-E72D297353CC}">
              <c16:uniqueId val="{00000000-1AA9-4E5B-98A2-71F4908BB0A8}"/>
            </c:ext>
          </c:extLst>
        </c:ser>
        <c:dLbls>
          <c:showLegendKey val="0"/>
          <c:showVal val="0"/>
          <c:showCatName val="0"/>
          <c:showSerName val="0"/>
          <c:showPercent val="0"/>
          <c:showBubbleSize val="0"/>
        </c:dLbls>
        <c:gapWidth val="182"/>
        <c:axId val="110912719"/>
        <c:axId val="110913199"/>
      </c:barChart>
      <c:catAx>
        <c:axId val="110912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13199"/>
        <c:crosses val="autoZero"/>
        <c:auto val="1"/>
        <c:lblAlgn val="ctr"/>
        <c:lblOffset val="100"/>
        <c:noMultiLvlLbl val="0"/>
      </c:catAx>
      <c:valAx>
        <c:axId val="110913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1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^L0 Performance Analysis.xlsx]Analysis_Pivots!PivotTable1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Analysis_Pivots!$C$3</c:f>
              <c:strCache>
                <c:ptCount val="1"/>
                <c:pt idx="0">
                  <c:v>Total</c:v>
                </c:pt>
              </c:strCache>
            </c:strRef>
          </c:tx>
          <c:spPr>
            <a:solidFill>
              <a:schemeClr val="accent1"/>
            </a:solidFill>
            <a:ln>
              <a:noFill/>
            </a:ln>
            <a:effectLst/>
          </c:spPr>
          <c:invertIfNegative val="0"/>
          <c:cat>
            <c:strRef>
              <c:f>Analysis_Pivots!$B$4:$B$5</c:f>
              <c:strCache>
                <c:ptCount val="1"/>
                <c:pt idx="0">
                  <c:v>Hr</c:v>
                </c:pt>
              </c:strCache>
            </c:strRef>
          </c:cat>
          <c:val>
            <c:numRef>
              <c:f>Analysis_Pivots!$C$4:$C$5</c:f>
              <c:numCache>
                <c:formatCode>General</c:formatCode>
                <c:ptCount val="1"/>
                <c:pt idx="0">
                  <c:v>6</c:v>
                </c:pt>
              </c:numCache>
            </c:numRef>
          </c:val>
          <c:extLst>
            <c:ext xmlns:c16="http://schemas.microsoft.com/office/drawing/2014/chart" uri="{C3380CC4-5D6E-409C-BE32-E72D297353CC}">
              <c16:uniqueId val="{00000000-6FA3-438D-A980-5FCB6297D55F}"/>
            </c:ext>
          </c:extLst>
        </c:ser>
        <c:dLbls>
          <c:showLegendKey val="0"/>
          <c:showVal val="0"/>
          <c:showCatName val="0"/>
          <c:showSerName val="0"/>
          <c:showPercent val="0"/>
          <c:showBubbleSize val="0"/>
        </c:dLbls>
        <c:gapWidth val="150"/>
        <c:overlap val="100"/>
        <c:axId val="260298335"/>
        <c:axId val="260313695"/>
      </c:barChart>
      <c:catAx>
        <c:axId val="260298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313695"/>
        <c:crosses val="autoZero"/>
        <c:auto val="1"/>
        <c:lblAlgn val="ctr"/>
        <c:lblOffset val="100"/>
        <c:noMultiLvlLbl val="0"/>
      </c:catAx>
      <c:valAx>
        <c:axId val="2603136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29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16</xdr:col>
      <xdr:colOff>495300</xdr:colOff>
      <xdr:row>3</xdr:row>
      <xdr:rowOff>46067</xdr:rowOff>
    </xdr:from>
    <xdr:to>
      <xdr:col>19</xdr:col>
      <xdr:colOff>91440</xdr:colOff>
      <xdr:row>6</xdr:row>
      <xdr:rowOff>166947</xdr:rowOff>
    </xdr:to>
    <xdr:sp macro="" textlink="Sheet2!I3">
      <xdr:nvSpPr>
        <xdr:cNvPr id="3" name="Rectangle: Rounded Corners 2">
          <a:extLst>
            <a:ext uri="{FF2B5EF4-FFF2-40B4-BE49-F238E27FC236}">
              <a16:creationId xmlns:a16="http://schemas.microsoft.com/office/drawing/2014/main" id="{01C1A8AB-D559-42C7-A236-52AB7651A6A9}"/>
            </a:ext>
          </a:extLst>
        </xdr:cNvPr>
        <xdr:cNvSpPr/>
      </xdr:nvSpPr>
      <xdr:spPr>
        <a:xfrm>
          <a:off x="10248900" y="838200"/>
          <a:ext cx="1424940" cy="67056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a:t>Avg Satisfaction:</a:t>
          </a:r>
          <a:endParaRPr lang="en-US" sz="1100" b="0" i="0" u="none" strike="noStrike">
            <a:solidFill>
              <a:srgbClr val="000000"/>
            </a:solidFill>
            <a:latin typeface="Calibri"/>
            <a:ea typeface="Calibri"/>
            <a:cs typeface="Calibri"/>
          </a:endParaRPr>
        </a:p>
        <a:p>
          <a:pPr algn="l"/>
          <a:fld id="{8F64BDA8-51B0-4647-A668-86381B69CA0B}" type="TxLink">
            <a:rPr lang="en-US" sz="1100" b="0" i="0" u="none" strike="noStrike">
              <a:solidFill>
                <a:srgbClr val="000000"/>
              </a:solidFill>
              <a:latin typeface="Calibri"/>
              <a:ea typeface="Calibri"/>
              <a:cs typeface="Calibri"/>
            </a:rPr>
            <a:t>6</a:t>
          </a:fld>
          <a:endParaRPr lang="en-IN" sz="1100"/>
        </a:p>
      </xdr:txBody>
    </xdr:sp>
    <xdr:clientData/>
  </xdr:twoCellAnchor>
  <xdr:twoCellAnchor editAs="absolute">
    <xdr:from>
      <xdr:col>5</xdr:col>
      <xdr:colOff>137160</xdr:colOff>
      <xdr:row>3</xdr:row>
      <xdr:rowOff>84167</xdr:rowOff>
    </xdr:from>
    <xdr:to>
      <xdr:col>7</xdr:col>
      <xdr:colOff>342900</xdr:colOff>
      <xdr:row>7</xdr:row>
      <xdr:rowOff>23206</xdr:rowOff>
    </xdr:to>
    <xdr:sp macro="" textlink="Sheet2!C3">
      <xdr:nvSpPr>
        <xdr:cNvPr id="4" name="Rectangle: Rounded Corners 3">
          <a:extLst>
            <a:ext uri="{FF2B5EF4-FFF2-40B4-BE49-F238E27FC236}">
              <a16:creationId xmlns:a16="http://schemas.microsoft.com/office/drawing/2014/main" id="{F010A86F-583B-4476-9261-E57BFDA77B09}"/>
            </a:ext>
          </a:extLst>
        </xdr:cNvPr>
        <xdr:cNvSpPr/>
      </xdr:nvSpPr>
      <xdr:spPr>
        <a:xfrm>
          <a:off x="3185160" y="876300"/>
          <a:ext cx="1424940" cy="67056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a:t>Attrition Count:</a:t>
          </a:r>
          <a:endParaRPr lang="en-US" sz="1100" b="0" i="0" u="none" strike="noStrike">
            <a:solidFill>
              <a:srgbClr val="000000"/>
            </a:solidFill>
            <a:latin typeface="Calibri"/>
            <a:ea typeface="Calibri"/>
            <a:cs typeface="Calibri"/>
          </a:endParaRPr>
        </a:p>
        <a:p>
          <a:pPr algn="l"/>
          <a:fld id="{AC5249A6-DC9D-4677-AC0E-9DA374D58AC9}" type="TxLink">
            <a:rPr lang="en-US" sz="1100" b="0" i="0" u="none" strike="noStrike">
              <a:solidFill>
                <a:srgbClr val="000000"/>
              </a:solidFill>
              <a:latin typeface="Calibri"/>
              <a:ea typeface="Calibri"/>
              <a:cs typeface="Calibri"/>
            </a:rPr>
            <a:t>6</a:t>
          </a:fld>
          <a:endParaRPr lang="en-IN" sz="1100"/>
        </a:p>
      </xdr:txBody>
    </xdr:sp>
    <xdr:clientData/>
  </xdr:twoCellAnchor>
  <xdr:twoCellAnchor editAs="absolute">
    <xdr:from>
      <xdr:col>9</xdr:col>
      <xdr:colOff>68580</xdr:colOff>
      <xdr:row>3</xdr:row>
      <xdr:rowOff>91787</xdr:rowOff>
    </xdr:from>
    <xdr:to>
      <xdr:col>11</xdr:col>
      <xdr:colOff>274320</xdr:colOff>
      <xdr:row>7</xdr:row>
      <xdr:rowOff>30826</xdr:rowOff>
    </xdr:to>
    <xdr:sp macro="" textlink="Sheet2!E3">
      <xdr:nvSpPr>
        <xdr:cNvPr id="5" name="Rectangle: Rounded Corners 4">
          <a:extLst>
            <a:ext uri="{FF2B5EF4-FFF2-40B4-BE49-F238E27FC236}">
              <a16:creationId xmlns:a16="http://schemas.microsoft.com/office/drawing/2014/main" id="{C9EC249C-6010-4ECA-8217-BE1DC22D9B1A}"/>
            </a:ext>
          </a:extLst>
        </xdr:cNvPr>
        <xdr:cNvSpPr/>
      </xdr:nvSpPr>
      <xdr:spPr>
        <a:xfrm>
          <a:off x="5554980" y="883920"/>
          <a:ext cx="1424940" cy="67056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a:t>Attrition Rate:</a:t>
          </a:r>
          <a:endParaRPr lang="en-US" sz="1100" b="0" i="0" u="none" strike="noStrike">
            <a:solidFill>
              <a:srgbClr val="000000"/>
            </a:solidFill>
            <a:latin typeface="Calibri"/>
            <a:ea typeface="Calibri"/>
            <a:cs typeface="Calibri"/>
          </a:endParaRPr>
        </a:p>
        <a:p>
          <a:pPr algn="l"/>
          <a:fld id="{30DC6A8B-F0BF-4E66-BFEF-C9807F238A05}" type="TxLink">
            <a:rPr lang="en-US" sz="1100" b="0" i="0" u="none" strike="noStrike">
              <a:solidFill>
                <a:srgbClr val="000000"/>
              </a:solidFill>
              <a:latin typeface="Calibri"/>
              <a:ea typeface="Calibri"/>
              <a:cs typeface="Calibri"/>
            </a:rPr>
            <a:t>1</a:t>
          </a:fld>
          <a:endParaRPr lang="en-IN" sz="1100"/>
        </a:p>
      </xdr:txBody>
    </xdr:sp>
    <xdr:clientData/>
  </xdr:twoCellAnchor>
  <xdr:twoCellAnchor editAs="absolute">
    <xdr:from>
      <xdr:col>12</xdr:col>
      <xdr:colOff>594360</xdr:colOff>
      <xdr:row>3</xdr:row>
      <xdr:rowOff>76547</xdr:rowOff>
    </xdr:from>
    <xdr:to>
      <xdr:col>15</xdr:col>
      <xdr:colOff>190500</xdr:colOff>
      <xdr:row>7</xdr:row>
      <xdr:rowOff>15586</xdr:rowOff>
    </xdr:to>
    <xdr:sp macro="" textlink="Sheet2!G3">
      <xdr:nvSpPr>
        <xdr:cNvPr id="6" name="Rectangle: Rounded Corners 5">
          <a:extLst>
            <a:ext uri="{FF2B5EF4-FFF2-40B4-BE49-F238E27FC236}">
              <a16:creationId xmlns:a16="http://schemas.microsoft.com/office/drawing/2014/main" id="{E07028E9-26FF-415B-BB71-85043962FCFA}"/>
            </a:ext>
          </a:extLst>
        </xdr:cNvPr>
        <xdr:cNvSpPr/>
      </xdr:nvSpPr>
      <xdr:spPr>
        <a:xfrm>
          <a:off x="7909560" y="868680"/>
          <a:ext cx="1424940" cy="67056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a:t>Avg Salary:</a:t>
          </a:r>
          <a:endParaRPr lang="en-US" sz="1100" b="0" i="0" u="none" strike="noStrike">
            <a:solidFill>
              <a:srgbClr val="000000"/>
            </a:solidFill>
            <a:latin typeface="Calibri"/>
            <a:ea typeface="Calibri"/>
            <a:cs typeface="Calibri"/>
          </a:endParaRPr>
        </a:p>
        <a:p>
          <a:pPr algn="l"/>
          <a:fld id="{0DC4EB50-7F12-46C5-8EAD-61DC909A29D5}" type="TxLink">
            <a:rPr lang="en-US" sz="1100" b="0" i="0" u="none" strike="noStrike">
              <a:solidFill>
                <a:srgbClr val="000000"/>
              </a:solidFill>
              <a:latin typeface="Calibri"/>
              <a:ea typeface="Calibri"/>
              <a:cs typeface="Calibri"/>
            </a:rPr>
            <a:t>6</a:t>
          </a:fld>
          <a:endParaRPr lang="en-IN" sz="1100"/>
        </a:p>
      </xdr:txBody>
    </xdr:sp>
    <xdr:clientData/>
  </xdr:twoCellAnchor>
  <xdr:twoCellAnchor editAs="absolute">
    <xdr:from>
      <xdr:col>1</xdr:col>
      <xdr:colOff>297180</xdr:colOff>
      <xdr:row>3</xdr:row>
      <xdr:rowOff>107027</xdr:rowOff>
    </xdr:from>
    <xdr:to>
      <xdr:col>3</xdr:col>
      <xdr:colOff>502920</xdr:colOff>
      <xdr:row>7</xdr:row>
      <xdr:rowOff>46066</xdr:rowOff>
    </xdr:to>
    <xdr:sp macro="" textlink="Sheet2!A3">
      <xdr:nvSpPr>
        <xdr:cNvPr id="7" name="Rectangle: Rounded Corners 6">
          <a:extLst>
            <a:ext uri="{FF2B5EF4-FFF2-40B4-BE49-F238E27FC236}">
              <a16:creationId xmlns:a16="http://schemas.microsoft.com/office/drawing/2014/main" id="{DB486063-12D0-46C0-B099-0E2B9801C7B6}"/>
            </a:ext>
          </a:extLst>
        </xdr:cNvPr>
        <xdr:cNvSpPr/>
      </xdr:nvSpPr>
      <xdr:spPr>
        <a:xfrm>
          <a:off x="906780" y="899160"/>
          <a:ext cx="1424940" cy="67056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a:t>Total Employees:</a:t>
          </a:r>
          <a:endParaRPr lang="en-US" sz="1100" b="0" i="0" u="none" strike="noStrike">
            <a:solidFill>
              <a:srgbClr val="000000"/>
            </a:solidFill>
            <a:latin typeface="Calibri"/>
            <a:ea typeface="Calibri"/>
            <a:cs typeface="Calibri"/>
          </a:endParaRPr>
        </a:p>
        <a:p>
          <a:pPr algn="l"/>
          <a:fld id="{5DE61D0C-E60D-4B6D-8CF1-22FDF45021A0}" type="TxLink">
            <a:rPr lang="en-US" sz="1100" b="0" i="0" u="none" strike="noStrike">
              <a:solidFill>
                <a:srgbClr val="000000"/>
              </a:solidFill>
              <a:latin typeface="Calibri"/>
              <a:ea typeface="Calibri"/>
              <a:cs typeface="Calibri"/>
            </a:rPr>
            <a:t>6</a:t>
          </a:fld>
          <a:endParaRPr lang="en-IN" sz="1100"/>
        </a:p>
      </xdr:txBody>
    </xdr:sp>
    <xdr:clientData/>
  </xdr:twoCellAnchor>
  <xdr:twoCellAnchor editAs="oneCell">
    <xdr:from>
      <xdr:col>0</xdr:col>
      <xdr:colOff>454392</xdr:colOff>
      <xdr:row>8</xdr:row>
      <xdr:rowOff>69384</xdr:rowOff>
    </xdr:from>
    <xdr:to>
      <xdr:col>4</xdr:col>
      <xdr:colOff>58152</xdr:colOff>
      <xdr:row>12</xdr:row>
      <xdr:rowOff>61764</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248203E5-3351-44E1-89A4-EC57613AA3F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54392" y="1785889"/>
              <a:ext cx="2042160" cy="7303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279935</xdr:colOff>
      <xdr:row>8</xdr:row>
      <xdr:rowOff>109088</xdr:rowOff>
    </xdr:from>
    <xdr:to>
      <xdr:col>8</xdr:col>
      <xdr:colOff>500915</xdr:colOff>
      <xdr:row>12</xdr:row>
      <xdr:rowOff>70989</xdr:rowOff>
    </xdr:to>
    <mc:AlternateContent xmlns:mc="http://schemas.openxmlformats.org/markup-compatibility/2006">
      <mc:Choice xmlns:a14="http://schemas.microsoft.com/office/drawing/2010/main" Requires="a14">
        <xdr:graphicFrame macro="">
          <xdr:nvGraphicFramePr>
            <xdr:cNvPr id="9" name="Job_Role">
              <a:extLst>
                <a:ext uri="{FF2B5EF4-FFF2-40B4-BE49-F238E27FC236}">
                  <a16:creationId xmlns:a16="http://schemas.microsoft.com/office/drawing/2014/main" id="{ECAAC6CD-9F6B-425D-92D7-5E1842F2780D}"/>
                </a:ext>
              </a:extLst>
            </xdr:cNvPr>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dr:sp macro="" textlink="">
          <xdr:nvSpPr>
            <xdr:cNvPr id="0" name=""/>
            <xdr:cNvSpPr>
              <a:spLocks noTextEdit="1"/>
            </xdr:cNvSpPr>
          </xdr:nvSpPr>
          <xdr:spPr>
            <a:xfrm>
              <a:off x="2718335" y="1825593"/>
              <a:ext cx="2659380" cy="6998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193307</xdr:colOff>
      <xdr:row>8</xdr:row>
      <xdr:rowOff>135156</xdr:rowOff>
    </xdr:from>
    <xdr:to>
      <xdr:col>13</xdr:col>
      <xdr:colOff>33287</xdr:colOff>
      <xdr:row>12</xdr:row>
      <xdr:rowOff>103071</xdr:rowOff>
    </xdr:to>
    <mc:AlternateContent xmlns:mc="http://schemas.openxmlformats.org/markup-compatibility/2006">
      <mc:Choice xmlns:a14="http://schemas.microsoft.com/office/drawing/2010/main" Requires="a14">
        <xdr:graphicFrame macro="">
          <xdr:nvGraphicFramePr>
            <xdr:cNvPr id="10" name="Salary_Band">
              <a:extLst>
                <a:ext uri="{FF2B5EF4-FFF2-40B4-BE49-F238E27FC236}">
                  <a16:creationId xmlns:a16="http://schemas.microsoft.com/office/drawing/2014/main" id="{1ADC220A-8D20-4D57-88B4-D52D109C17FE}"/>
                </a:ext>
              </a:extLst>
            </xdr:cNvPr>
            <xdr:cNvGraphicFramePr/>
          </xdr:nvGraphicFramePr>
          <xdr:xfrm>
            <a:off x="0" y="0"/>
            <a:ext cx="0" cy="0"/>
          </xdr:xfrm>
          <a:graphic>
            <a:graphicData uri="http://schemas.microsoft.com/office/drawing/2010/slicer">
              <sle:slicer xmlns:sle="http://schemas.microsoft.com/office/drawing/2010/slicer" name="Salary_Band"/>
            </a:graphicData>
          </a:graphic>
        </xdr:graphicFrame>
      </mc:Choice>
      <mc:Fallback>
        <xdr:sp macro="" textlink="">
          <xdr:nvSpPr>
            <xdr:cNvPr id="0" name=""/>
            <xdr:cNvSpPr>
              <a:spLocks noTextEdit="1"/>
            </xdr:cNvSpPr>
          </xdr:nvSpPr>
          <xdr:spPr>
            <a:xfrm>
              <a:off x="5679707" y="1851661"/>
              <a:ext cx="2278380" cy="7058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298383</xdr:colOff>
      <xdr:row>8</xdr:row>
      <xdr:rowOff>134755</xdr:rowOff>
    </xdr:from>
    <xdr:to>
      <xdr:col>17</xdr:col>
      <xdr:colOff>328863</xdr:colOff>
      <xdr:row>12</xdr:row>
      <xdr:rowOff>95051</xdr:rowOff>
    </xdr:to>
    <mc:AlternateContent xmlns:mc="http://schemas.openxmlformats.org/markup-compatibility/2006">
      <mc:Choice xmlns:a14="http://schemas.microsoft.com/office/drawing/2010/main" Requires="a14">
        <xdr:graphicFrame macro="">
          <xdr:nvGraphicFramePr>
            <xdr:cNvPr id="11" name="Attrition_Status">
              <a:extLst>
                <a:ext uri="{FF2B5EF4-FFF2-40B4-BE49-F238E27FC236}">
                  <a16:creationId xmlns:a16="http://schemas.microsoft.com/office/drawing/2014/main" id="{194FE037-317E-4B8F-B1EA-423EA3FDC779}"/>
                </a:ext>
              </a:extLst>
            </xdr:cNvPr>
            <xdr:cNvGraphicFramePr/>
          </xdr:nvGraphicFramePr>
          <xdr:xfrm>
            <a:off x="0" y="0"/>
            <a:ext cx="0" cy="0"/>
          </xdr:xfrm>
          <a:graphic>
            <a:graphicData uri="http://schemas.microsoft.com/office/drawing/2010/slicer">
              <sle:slicer xmlns:sle="http://schemas.microsoft.com/office/drawing/2010/slicer" name="Attrition_Status"/>
            </a:graphicData>
          </a:graphic>
        </xdr:graphicFrame>
      </mc:Choice>
      <mc:Fallback>
        <xdr:sp macro="" textlink="">
          <xdr:nvSpPr>
            <xdr:cNvPr id="0" name=""/>
            <xdr:cNvSpPr>
              <a:spLocks noTextEdit="1"/>
            </xdr:cNvSpPr>
          </xdr:nvSpPr>
          <xdr:spPr>
            <a:xfrm>
              <a:off x="8223183" y="1851260"/>
              <a:ext cx="2468880" cy="6982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91841</xdr:colOff>
      <xdr:row>13</xdr:row>
      <xdr:rowOff>129941</xdr:rowOff>
    </xdr:from>
    <xdr:to>
      <xdr:col>22</xdr:col>
      <xdr:colOff>328061</xdr:colOff>
      <xdr:row>26</xdr:row>
      <xdr:rowOff>38500</xdr:rowOff>
    </xdr:to>
    <xdr:graphicFrame macro="">
      <xdr:nvGraphicFramePr>
        <xdr:cNvPr id="12" name="Chart 11">
          <a:extLst>
            <a:ext uri="{FF2B5EF4-FFF2-40B4-BE49-F238E27FC236}">
              <a16:creationId xmlns:a16="http://schemas.microsoft.com/office/drawing/2014/main" id="{EB01DEA5-C6B8-494A-B943-C12EE2C6F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60960</xdr:colOff>
      <xdr:row>13</xdr:row>
      <xdr:rowOff>154406</xdr:rowOff>
    </xdr:from>
    <xdr:to>
      <xdr:col>16</xdr:col>
      <xdr:colOff>518160</xdr:colOff>
      <xdr:row>26</xdr:row>
      <xdr:rowOff>47725</xdr:rowOff>
    </xdr:to>
    <xdr:graphicFrame macro="">
      <xdr:nvGraphicFramePr>
        <xdr:cNvPr id="13" name="Chart 12">
          <a:extLst>
            <a:ext uri="{FF2B5EF4-FFF2-40B4-BE49-F238E27FC236}">
              <a16:creationId xmlns:a16="http://schemas.microsoft.com/office/drawing/2014/main" id="{D1035F13-1E56-47CA-BA7C-3E70AD994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115904</xdr:colOff>
      <xdr:row>14</xdr:row>
      <xdr:rowOff>11230</xdr:rowOff>
    </xdr:from>
    <xdr:to>
      <xdr:col>5</xdr:col>
      <xdr:colOff>161624</xdr:colOff>
      <xdr:row>26</xdr:row>
      <xdr:rowOff>56950</xdr:rowOff>
    </xdr:to>
    <xdr:graphicFrame macro="">
      <xdr:nvGraphicFramePr>
        <xdr:cNvPr id="14" name="Chart 13">
          <a:extLst>
            <a:ext uri="{FF2B5EF4-FFF2-40B4-BE49-F238E27FC236}">
              <a16:creationId xmlns:a16="http://schemas.microsoft.com/office/drawing/2014/main" id="{019A55B7-EAB0-483E-8C09-A154B27F7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275925</xdr:colOff>
      <xdr:row>13</xdr:row>
      <xdr:rowOff>162427</xdr:rowOff>
    </xdr:from>
    <xdr:to>
      <xdr:col>10</xdr:col>
      <xdr:colOff>580725</xdr:colOff>
      <xdr:row>26</xdr:row>
      <xdr:rowOff>48126</xdr:rowOff>
    </xdr:to>
    <xdr:graphicFrame macro="">
      <xdr:nvGraphicFramePr>
        <xdr:cNvPr id="15" name="Chart 14">
          <a:extLst>
            <a:ext uri="{FF2B5EF4-FFF2-40B4-BE49-F238E27FC236}">
              <a16:creationId xmlns:a16="http://schemas.microsoft.com/office/drawing/2014/main" id="{8D95BA22-A905-4039-B1CE-3D369F74E8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439955</xdr:colOff>
      <xdr:row>2</xdr:row>
      <xdr:rowOff>323249</xdr:rowOff>
    </xdr:from>
    <xdr:to>
      <xdr:col>23</xdr:col>
      <xdr:colOff>89435</xdr:colOff>
      <xdr:row>11</xdr:row>
      <xdr:rowOff>151197</xdr:rowOff>
    </xdr:to>
    <xdr:sp macro="" textlink="">
      <xdr:nvSpPr>
        <xdr:cNvPr id="19" name="Speech Bubble: Rectangle 18">
          <a:extLst>
            <a:ext uri="{FF2B5EF4-FFF2-40B4-BE49-F238E27FC236}">
              <a16:creationId xmlns:a16="http://schemas.microsoft.com/office/drawing/2014/main" id="{FACFD03F-801E-FC5C-4D53-32F488A1E14C}"/>
            </a:ext>
          </a:extLst>
        </xdr:cNvPr>
        <xdr:cNvSpPr/>
      </xdr:nvSpPr>
      <xdr:spPr>
        <a:xfrm>
          <a:off x="12022355" y="692217"/>
          <a:ext cx="2087880" cy="1728938"/>
        </a:xfrm>
        <a:prstGeom prst="wedgeRectCallou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t>• Sales department shows the highest attrition.</a:t>
          </a:r>
        </a:p>
        <a:p>
          <a:pPr algn="l"/>
          <a:r>
            <a:rPr lang="en-IN" sz="1200" b="1"/>
            <a:t>• Employees in the low salary band leave more frequently.</a:t>
          </a:r>
        </a:p>
        <a:p>
          <a:pPr algn="l"/>
          <a:r>
            <a:rPr lang="en-IN" sz="1200" b="1"/>
            <a:t>• Lower satisfaction strongly correlates with attrition.</a:t>
          </a:r>
        </a:p>
        <a:p>
          <a:pPr algn="l"/>
          <a:r>
            <a:rPr lang="en-IN" sz="1200" b="1"/>
            <a:t>• Early-tenure employees are more likely to leave.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TUS" refreshedDate="46031.725342824073" createdVersion="8" refreshedVersion="8" minRefreshableVersion="3" recordCount="17" xr:uid="{8CB35688-3978-42E7-8666-F3027A10D43E}">
  <cacheSource type="worksheet">
    <worksheetSource ref="A1:M18" sheet="Sheet1"/>
  </cacheSource>
  <cacheFields count="13">
    <cacheField name="Employee_ID" numFmtId="0">
      <sharedItems/>
    </cacheField>
    <cacheField name="Age" numFmtId="0">
      <sharedItems containsSemiMixedTypes="0" containsString="0" containsNumber="1" containsInteger="1" minValue="28" maxValue="65"/>
    </cacheField>
    <cacheField name="Gender" numFmtId="0">
      <sharedItems/>
    </cacheField>
    <cacheField name="Department" numFmtId="0">
      <sharedItems count="3">
        <s v="Sales"/>
        <s v="Hr"/>
        <s v="It"/>
      </sharedItems>
    </cacheField>
    <cacheField name="Job_Role" numFmtId="0">
      <sharedItems count="3">
        <s v="Executive"/>
        <s v="Manager"/>
        <s v="Developer"/>
      </sharedItems>
    </cacheField>
    <cacheField name="Salary" numFmtId="0">
      <sharedItems containsSemiMixedTypes="0" containsString="0" containsNumber="1" minValue="35000" maxValue="244166.66666666701"/>
    </cacheField>
    <cacheField name="Performance_Rating" numFmtId="0">
      <sharedItems containsSemiMixedTypes="0" containsString="0" containsNumber="1" minValue="1" maxValue="5"/>
    </cacheField>
    <cacheField name="Years_At_Company" numFmtId="0">
      <sharedItems containsSemiMixedTypes="0" containsString="0" containsNumber="1" minValue="2" maxValue="20.3333333333333"/>
    </cacheField>
    <cacheField name="Satisfaction" numFmtId="0">
      <sharedItems containsSemiMixedTypes="0" containsString="0" containsNumber="1" minValue="-4.5" maxValue="4" count="16">
        <n v="3"/>
        <n v="4"/>
        <n v="2"/>
        <n v="1.5"/>
        <n v="1"/>
        <n v="0.5"/>
        <n v="0"/>
        <n v="-0.5"/>
        <n v="-1"/>
        <n v="-1.5"/>
        <n v="-2"/>
        <n v="-2.5"/>
        <n v="-3"/>
        <n v="-3.5"/>
        <n v="-4"/>
        <n v="-4.5"/>
      </sharedItems>
    </cacheField>
    <cacheField name="Attrition" numFmtId="0">
      <sharedItems/>
    </cacheField>
    <cacheField name="Attrition_Status" numFmtId="0">
      <sharedItems count="2">
        <s v="Left"/>
        <s v="Active"/>
      </sharedItems>
    </cacheField>
    <cacheField name="Salary_Band" numFmtId="0">
      <sharedItems count="3">
        <s v="Low"/>
        <s v="High"/>
        <s v="Medium"/>
      </sharedItems>
    </cacheField>
    <cacheField name="Tenure_Group" numFmtId="0">
      <sharedItems/>
    </cacheField>
  </cacheFields>
  <extLst>
    <ext xmlns:x14="http://schemas.microsoft.com/office/spreadsheetml/2009/9/main" uri="{725AE2AE-9491-48be-B2B4-4EB974FC3084}">
      <x14:pivotCacheDefinition pivotCacheId="9690027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s v="E001"/>
    <n v="28"/>
    <s v="Male"/>
    <x v="0"/>
    <x v="0"/>
    <n v="35000"/>
    <n v="4"/>
    <n v="2"/>
    <x v="0"/>
    <s v="Yes"/>
    <x v="0"/>
    <x v="0"/>
    <s v="&lt;3 Years"/>
  </r>
  <r>
    <s v="E002"/>
    <n v="45"/>
    <s v="Female"/>
    <x v="1"/>
    <x v="1"/>
    <n v="75000"/>
    <n v="5"/>
    <n v="10"/>
    <x v="1"/>
    <s v="No"/>
    <x v="1"/>
    <x v="1"/>
    <s v="&gt;7 Years"/>
  </r>
  <r>
    <s v="E003"/>
    <n v="32"/>
    <s v="Male"/>
    <x v="2"/>
    <x v="2"/>
    <n v="60000"/>
    <n v="3"/>
    <n v="4"/>
    <x v="2"/>
    <s v="Yes"/>
    <x v="0"/>
    <x v="2"/>
    <s v="3–7 Years"/>
  </r>
  <r>
    <s v="E004"/>
    <n v="39"/>
    <s v="Male"/>
    <x v="0"/>
    <x v="0"/>
    <n v="81666.666666666701"/>
    <n v="3"/>
    <n v="7.3333333333333304"/>
    <x v="2"/>
    <s v="Yes"/>
    <x v="0"/>
    <x v="1"/>
    <s v="&gt;7 Years"/>
  </r>
  <r>
    <s v="E005"/>
    <n v="41"/>
    <s v="Female"/>
    <x v="1"/>
    <x v="1"/>
    <n v="94166.666666666701"/>
    <n v="2.5"/>
    <n v="8.3333333333333304"/>
    <x v="3"/>
    <s v="No"/>
    <x v="1"/>
    <x v="1"/>
    <s v="&gt;7 Years"/>
  </r>
  <r>
    <s v="E006"/>
    <n v="43"/>
    <s v="Male"/>
    <x v="2"/>
    <x v="2"/>
    <n v="106666.66666666701"/>
    <n v="2"/>
    <n v="9.3333333333333304"/>
    <x v="4"/>
    <s v="Yes"/>
    <x v="0"/>
    <x v="1"/>
    <s v="&gt;7 Years"/>
  </r>
  <r>
    <s v="E007"/>
    <n v="45"/>
    <s v="Male"/>
    <x v="0"/>
    <x v="0"/>
    <n v="119166.66666666701"/>
    <n v="1.5"/>
    <n v="10.3333333333333"/>
    <x v="5"/>
    <s v="Yes"/>
    <x v="0"/>
    <x v="1"/>
    <s v="&gt;7 Years"/>
  </r>
  <r>
    <s v="E008"/>
    <n v="47"/>
    <s v="Female"/>
    <x v="1"/>
    <x v="1"/>
    <n v="131666.66666666701"/>
    <n v="1"/>
    <n v="11.3333333333333"/>
    <x v="6"/>
    <s v="No"/>
    <x v="1"/>
    <x v="1"/>
    <s v="&gt;7 Years"/>
  </r>
  <r>
    <s v="E009"/>
    <n v="49"/>
    <s v="Male"/>
    <x v="2"/>
    <x v="2"/>
    <n v="144166.66666666701"/>
    <n v="3"/>
    <n v="12.3333333333333"/>
    <x v="7"/>
    <s v="Yes"/>
    <x v="0"/>
    <x v="1"/>
    <s v="&gt;7 Years"/>
  </r>
  <r>
    <s v="E010"/>
    <n v="51"/>
    <s v="Male"/>
    <x v="0"/>
    <x v="0"/>
    <n v="156666.66666666701"/>
    <n v="3"/>
    <n v="13.3333333333333"/>
    <x v="8"/>
    <s v="Yes"/>
    <x v="0"/>
    <x v="1"/>
    <s v="&gt;7 Years"/>
  </r>
  <r>
    <s v="E011"/>
    <n v="53"/>
    <s v="Female"/>
    <x v="1"/>
    <x v="1"/>
    <n v="169166.66666666701"/>
    <n v="3"/>
    <n v="14.3333333333333"/>
    <x v="9"/>
    <s v="No"/>
    <x v="1"/>
    <x v="1"/>
    <s v="&gt;7 Years"/>
  </r>
  <r>
    <s v="E012"/>
    <n v="55"/>
    <s v="Male"/>
    <x v="2"/>
    <x v="2"/>
    <n v="181666.66666666701"/>
    <n v="3"/>
    <n v="15.3333333333333"/>
    <x v="10"/>
    <s v="Yes"/>
    <x v="0"/>
    <x v="1"/>
    <s v="&gt;7 Years"/>
  </r>
  <r>
    <s v="E013"/>
    <n v="57"/>
    <s v="Male"/>
    <x v="0"/>
    <x v="0"/>
    <n v="194166.66666666701"/>
    <n v="3"/>
    <n v="16.3333333333333"/>
    <x v="11"/>
    <s v="Yes"/>
    <x v="0"/>
    <x v="1"/>
    <s v="&gt;7 Years"/>
  </r>
  <r>
    <s v="E014"/>
    <n v="59"/>
    <s v="Female"/>
    <x v="1"/>
    <x v="1"/>
    <n v="206666.66666666701"/>
    <n v="3"/>
    <n v="17.3333333333333"/>
    <x v="12"/>
    <s v="No"/>
    <x v="1"/>
    <x v="1"/>
    <s v="&gt;7 Years"/>
  </r>
  <r>
    <s v="E015"/>
    <n v="61"/>
    <s v="Male"/>
    <x v="2"/>
    <x v="2"/>
    <n v="219166.66666666701"/>
    <n v="3"/>
    <n v="18.3333333333333"/>
    <x v="13"/>
    <s v="Yes"/>
    <x v="0"/>
    <x v="1"/>
    <s v="&gt;7 Years"/>
  </r>
  <r>
    <s v="E016"/>
    <n v="63"/>
    <s v="Male"/>
    <x v="0"/>
    <x v="0"/>
    <n v="231666.66666666701"/>
    <n v="3"/>
    <n v="19.3333333333333"/>
    <x v="14"/>
    <s v="Yes"/>
    <x v="0"/>
    <x v="1"/>
    <s v="&gt;7 Years"/>
  </r>
  <r>
    <s v="E017"/>
    <n v="65"/>
    <s v="Female"/>
    <x v="1"/>
    <x v="1"/>
    <n v="244166.66666666701"/>
    <n v="3"/>
    <n v="20.3333333333333"/>
    <x v="15"/>
    <s v="No"/>
    <x v="1"/>
    <x v="1"/>
    <s v="&gt;7 Year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B125DC-DDF0-4BDE-B366-D4973E9FA12A}"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3:M11" firstHeaderRow="1" firstDataRow="2" firstDataCol="1"/>
  <pivotFields count="13">
    <pivotField dataField="1" showAll="0"/>
    <pivotField showAll="0"/>
    <pivotField showAll="0"/>
    <pivotField showAll="0">
      <items count="4">
        <item x="1"/>
        <item h="1" x="2"/>
        <item h="1" x="0"/>
        <item t="default"/>
      </items>
    </pivotField>
    <pivotField showAll="0">
      <items count="4">
        <item h="1" x="2"/>
        <item h="1" x="0"/>
        <item x="1"/>
        <item t="default"/>
      </items>
    </pivotField>
    <pivotField showAll="0"/>
    <pivotField showAll="0"/>
    <pivotField showAll="0"/>
    <pivotField axis="axisRow" showAll="0">
      <items count="17">
        <item x="15"/>
        <item x="14"/>
        <item x="13"/>
        <item x="12"/>
        <item x="11"/>
        <item x="10"/>
        <item x="9"/>
        <item x="8"/>
        <item x="7"/>
        <item x="6"/>
        <item x="5"/>
        <item x="4"/>
        <item x="3"/>
        <item x="2"/>
        <item x="0"/>
        <item x="1"/>
        <item t="default"/>
      </items>
    </pivotField>
    <pivotField showAll="0"/>
    <pivotField axis="axisCol" showAll="0">
      <items count="3">
        <item x="1"/>
        <item h="1" x="0"/>
        <item t="default"/>
      </items>
    </pivotField>
    <pivotField showAll="0">
      <items count="4">
        <item x="1"/>
        <item h="1" x="0"/>
        <item h="1" x="2"/>
        <item t="default"/>
      </items>
    </pivotField>
    <pivotField showAll="0"/>
  </pivotFields>
  <rowFields count="1">
    <field x="8"/>
  </rowFields>
  <rowItems count="7">
    <i>
      <x/>
    </i>
    <i>
      <x v="3"/>
    </i>
    <i>
      <x v="6"/>
    </i>
    <i>
      <x v="9"/>
    </i>
    <i>
      <x v="12"/>
    </i>
    <i>
      <x v="15"/>
    </i>
    <i t="grand">
      <x/>
    </i>
  </rowItems>
  <colFields count="1">
    <field x="10"/>
  </colFields>
  <colItems count="2">
    <i>
      <x/>
    </i>
    <i t="grand">
      <x/>
    </i>
  </colItems>
  <dataFields count="1">
    <dataField name="Count of Employee_ID" fld="0" subtotal="count" baseField="0" baseItem="0"/>
  </dataFields>
  <chartFormats count="3">
    <chartFormat chart="4" format="4" series="1">
      <pivotArea type="data" outline="0" fieldPosition="0">
        <references count="2">
          <reference field="4294967294" count="1" selected="0">
            <x v="0"/>
          </reference>
          <reference field="10" count="1" selected="0">
            <x v="0"/>
          </reference>
        </references>
      </pivotArea>
    </chartFormat>
    <chartFormat chart="4" format="5" series="1">
      <pivotArea type="data" outline="0" fieldPosition="0">
        <references count="2">
          <reference field="4294967294" count="1" selected="0">
            <x v="0"/>
          </reference>
          <reference field="10" count="1" selected="0">
            <x v="1"/>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79CAE7-C31B-44F9-9BD0-028538DFF6E4}"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3:I5" firstHeaderRow="1" firstDataRow="1" firstDataCol="1" rowPageCount="1" colPageCount="1"/>
  <pivotFields count="13">
    <pivotField showAll="0"/>
    <pivotField showAll="0"/>
    <pivotField showAll="0"/>
    <pivotField showAll="0">
      <items count="4">
        <item x="1"/>
        <item h="1" x="2"/>
        <item h="1" x="0"/>
        <item t="default"/>
      </items>
    </pivotField>
    <pivotField showAll="0">
      <items count="4">
        <item h="1" x="2"/>
        <item h="1" x="0"/>
        <item x="1"/>
        <item t="default"/>
      </items>
    </pivotField>
    <pivotField showAll="0"/>
    <pivotField showAll="0"/>
    <pivotField showAll="0"/>
    <pivotField showAll="0"/>
    <pivotField showAll="0"/>
    <pivotField axis="axisPage" dataField="1" showAll="0">
      <items count="3">
        <item x="1"/>
        <item x="0"/>
        <item t="default"/>
      </items>
    </pivotField>
    <pivotField axis="axisRow" showAll="0">
      <items count="4">
        <item x="1"/>
        <item h="1" x="0"/>
        <item h="1" x="2"/>
        <item t="default"/>
      </items>
    </pivotField>
    <pivotField showAll="0"/>
  </pivotFields>
  <rowFields count="1">
    <field x="11"/>
  </rowFields>
  <rowItems count="2">
    <i>
      <x/>
    </i>
    <i t="grand">
      <x/>
    </i>
  </rowItems>
  <colItems count="1">
    <i/>
  </colItems>
  <pageFields count="1">
    <pageField fld="10" item="0" hier="-1"/>
  </pageFields>
  <dataFields count="1">
    <dataField name="Count of Attrition_Status" fld="1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6FBE32-75F2-4942-917B-9705D4AE71D0}"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3:F5" firstHeaderRow="1" firstDataRow="1" firstDataCol="1" rowPageCount="1" colPageCount="1"/>
  <pivotFields count="13">
    <pivotField showAll="0"/>
    <pivotField showAll="0"/>
    <pivotField showAll="0"/>
    <pivotField showAll="0">
      <items count="4">
        <item x="1"/>
        <item h="1" x="2"/>
        <item h="1" x="0"/>
        <item t="default"/>
      </items>
    </pivotField>
    <pivotField axis="axisRow" showAll="0">
      <items count="4">
        <item h="1" x="2"/>
        <item h="1" x="0"/>
        <item x="1"/>
        <item t="default"/>
      </items>
    </pivotField>
    <pivotField showAll="0"/>
    <pivotField showAll="0"/>
    <pivotField showAll="0"/>
    <pivotField showAll="0"/>
    <pivotField showAll="0"/>
    <pivotField axis="axisPage" dataField="1" showAll="0">
      <items count="3">
        <item x="1"/>
        <item x="0"/>
        <item t="default"/>
      </items>
    </pivotField>
    <pivotField showAll="0">
      <items count="4">
        <item x="1"/>
        <item h="1" x="0"/>
        <item h="1" x="2"/>
        <item t="default"/>
      </items>
    </pivotField>
    <pivotField showAll="0"/>
  </pivotFields>
  <rowFields count="1">
    <field x="4"/>
  </rowFields>
  <rowItems count="2">
    <i>
      <x v="2"/>
    </i>
    <i t="grand">
      <x/>
    </i>
  </rowItems>
  <colItems count="1">
    <i/>
  </colItems>
  <pageFields count="1">
    <pageField fld="10" item="0" hier="-1"/>
  </pageFields>
  <dataFields count="1">
    <dataField name="Count of Attrition_Status" fld="1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68FB01-4FFE-412B-BB31-62884E332C7E}"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C5" firstHeaderRow="1" firstDataRow="1" firstDataCol="1" rowPageCount="1" colPageCount="1"/>
  <pivotFields count="13">
    <pivotField showAll="0"/>
    <pivotField showAll="0"/>
    <pivotField showAll="0"/>
    <pivotField axis="axisRow" showAll="0">
      <items count="4">
        <item x="1"/>
        <item h="1" x="2"/>
        <item h="1" x="0"/>
        <item t="default"/>
      </items>
    </pivotField>
    <pivotField showAll="0">
      <items count="4">
        <item h="1" x="2"/>
        <item h="1" x="0"/>
        <item x="1"/>
        <item t="default"/>
      </items>
    </pivotField>
    <pivotField showAll="0"/>
    <pivotField showAll="0"/>
    <pivotField showAll="0"/>
    <pivotField showAll="0"/>
    <pivotField showAll="0"/>
    <pivotField axis="axisPage" dataField="1" showAll="0">
      <items count="3">
        <item x="1"/>
        <item x="0"/>
        <item t="default"/>
      </items>
    </pivotField>
    <pivotField showAll="0">
      <items count="4">
        <item x="1"/>
        <item h="1" x="0"/>
        <item h="1" x="2"/>
        <item t="default"/>
      </items>
    </pivotField>
    <pivotField showAll="0"/>
  </pivotFields>
  <rowFields count="1">
    <field x="3"/>
  </rowFields>
  <rowItems count="2">
    <i>
      <x/>
    </i>
    <i t="grand">
      <x/>
    </i>
  </rowItems>
  <colItems count="1">
    <i/>
  </colItems>
  <pageFields count="1">
    <pageField fld="10" item="0" hier="-1"/>
  </pageFields>
  <dataFields count="1">
    <dataField name="Count of Attrition_Status" fld="1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6C11BF2-2E98-45A0-95A5-0C1B9C7C0627}" sourceName="Department">
  <pivotTables>
    <pivotTable tabId="3" name="PivotTable1"/>
    <pivotTable tabId="3" name="PivotTable2"/>
    <pivotTable tabId="3" name="PivotTable3"/>
    <pivotTable tabId="3" name="PivotTable4"/>
  </pivotTables>
  <data>
    <tabular pivotCacheId="969002781">
      <items count="3">
        <i x="1" s="1"/>
        <i x="2" nd="1"/>
        <i x="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DCA896DB-F6C3-42E0-98BB-4393CBEBB990}" sourceName="Job_Role">
  <pivotTables>
    <pivotTable tabId="3" name="PivotTable1"/>
    <pivotTable tabId="3" name="PivotTable2"/>
    <pivotTable tabId="3" name="PivotTable3"/>
    <pivotTable tabId="3" name="PivotTable4"/>
  </pivotTables>
  <data>
    <tabular pivotCacheId="969002781">
      <items count="3">
        <i x="1" s="1"/>
        <i x="2" nd="1"/>
        <i x="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Band" xr10:uid="{905A6FE3-382C-4FA2-8BC5-B9A8DDB985A2}" sourceName="Salary_Band">
  <pivotTables>
    <pivotTable tabId="3" name="PivotTable1"/>
    <pivotTable tabId="3" name="PivotTable2"/>
    <pivotTable tabId="3" name="PivotTable3"/>
    <pivotTable tabId="3" name="PivotTable4"/>
  </pivotTables>
  <data>
    <tabular pivotCacheId="969002781">
      <items count="3">
        <i x="1" s="1"/>
        <i x="0" nd="1"/>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_Status" xr10:uid="{D0E7FA15-A0C7-4C31-9B81-B162A8B883C9}" sourceName="Attrition_Status">
  <pivotTables>
    <pivotTable tabId="3" name="PivotTable1"/>
    <pivotTable tabId="3" name="PivotTable2"/>
    <pivotTable tabId="3" name="PivotTable3"/>
    <pivotTable tabId="3" name="PivotTable4"/>
  </pivotTables>
  <data>
    <tabular pivotCacheId="969002781">
      <items count="2">
        <i x="1" s="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50A58F3-CD45-417D-8C8D-753333132DF0}" cache="Slicer_Department" caption="Department" columnCount="3" rowHeight="234950"/>
  <slicer name="Job_Role" xr10:uid="{161872E8-A2A5-4F2D-B8FB-4BBAA3A4ED4F}" cache="Slicer_Job_Role" caption="Job_Role" columnCount="3" rowHeight="234950"/>
  <slicer name="Salary_Band" xr10:uid="{B062D3F2-86AD-4A65-A361-D4C641E43E4B}" cache="Slicer_Salary_Band" caption="Salary_Band" columnCount="3" rowHeight="234950"/>
  <slicer name="Attrition_Status" xr10:uid="{57C57805-4496-45F2-B0E3-DF64805CF344}" cache="Slicer_Attrition_Status" caption="Attrition_Status" columnCoun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13473-F3C8-4D52-952D-36958DB36783}">
  <sheetPr codeName="Sheet1"/>
  <dimension ref="A1:M200"/>
  <sheetViews>
    <sheetView zoomScale="115" zoomScaleNormal="115" workbookViewId="0">
      <selection activeCell="C9" sqref="A1:M18"/>
    </sheetView>
  </sheetViews>
  <sheetFormatPr defaultRowHeight="14.4" x14ac:dyDescent="0.3"/>
  <cols>
    <col min="1" max="1" width="12.109375" bestFit="1" customWidth="1"/>
    <col min="2" max="2" width="5.33203125" customWidth="1"/>
    <col min="3" max="3" width="11.5546875" customWidth="1"/>
    <col min="4" max="5" width="15.6640625" customWidth="1"/>
    <col min="6" max="6" width="11.5546875" bestFit="1" customWidth="1"/>
    <col min="7" max="7" width="20.21875" customWidth="1"/>
    <col min="8" max="8" width="25.5546875" customWidth="1"/>
    <col min="9" max="9" width="16.21875" customWidth="1"/>
    <col min="10" max="10" width="12.44140625" bestFit="1" customWidth="1"/>
    <col min="11" max="11" width="14.21875" bestFit="1" customWidth="1"/>
    <col min="12" max="12" width="11" bestFit="1" customWidth="1"/>
    <col min="13" max="13" width="12.6640625" bestFit="1" customWidth="1"/>
  </cols>
  <sheetData>
    <row r="1" spans="1:13" x14ac:dyDescent="0.3">
      <c r="A1" s="1" t="s">
        <v>0</v>
      </c>
      <c r="B1" s="1" t="s">
        <v>1</v>
      </c>
      <c r="C1" s="1" t="s">
        <v>2</v>
      </c>
      <c r="D1" s="1" t="s">
        <v>3</v>
      </c>
      <c r="E1" s="1" t="s">
        <v>4</v>
      </c>
      <c r="F1" s="1" t="s">
        <v>5</v>
      </c>
      <c r="G1" s="1" t="s">
        <v>6</v>
      </c>
      <c r="H1" s="1" t="s">
        <v>7</v>
      </c>
      <c r="I1" s="1" t="s">
        <v>8</v>
      </c>
      <c r="J1" s="1" t="s">
        <v>9</v>
      </c>
      <c r="K1" t="s">
        <v>37</v>
      </c>
      <c r="L1" t="s">
        <v>38</v>
      </c>
      <c r="M1" t="s">
        <v>39</v>
      </c>
    </row>
    <row r="2" spans="1:13" x14ac:dyDescent="0.3">
      <c r="A2" s="2" t="s">
        <v>10</v>
      </c>
      <c r="B2" s="2">
        <v>28</v>
      </c>
      <c r="C2" s="2" t="s">
        <v>11</v>
      </c>
      <c r="D2" s="2" t="s">
        <v>12</v>
      </c>
      <c r="E2" s="2" t="s">
        <v>13</v>
      </c>
      <c r="F2" s="2">
        <v>35000</v>
      </c>
      <c r="G2" s="2">
        <v>4</v>
      </c>
      <c r="H2" s="2">
        <v>2</v>
      </c>
      <c r="I2" s="2">
        <v>3</v>
      </c>
      <c r="J2" t="s">
        <v>14</v>
      </c>
      <c r="K2" t="str">
        <f>IF(J2="Yes","Left","Active")</f>
        <v>Left</v>
      </c>
      <c r="L2" t="str">
        <f>IF(F2&lt;40000,"Low",
 IF(F2&lt;=70000,"Medium","High"))</f>
        <v>Low</v>
      </c>
      <c r="M2" t="str">
        <f>IF(H2&lt;3,"&lt;3 Years",
 IF(H2&lt;=7,"3–7 Years","&gt;7 Years"))</f>
        <v>&lt;3 Years</v>
      </c>
    </row>
    <row r="3" spans="1:13" x14ac:dyDescent="0.3">
      <c r="A3" s="2" t="s">
        <v>15</v>
      </c>
      <c r="B3" s="2">
        <v>45</v>
      </c>
      <c r="C3" s="2" t="s">
        <v>16</v>
      </c>
      <c r="D3" s="2" t="s">
        <v>35</v>
      </c>
      <c r="E3" s="2" t="s">
        <v>17</v>
      </c>
      <c r="F3" s="2">
        <v>75000</v>
      </c>
      <c r="G3" s="2">
        <v>5</v>
      </c>
      <c r="H3" s="2">
        <v>10</v>
      </c>
      <c r="I3" s="2">
        <v>4</v>
      </c>
      <c r="J3" t="s">
        <v>18</v>
      </c>
      <c r="K3" t="str">
        <f t="shared" ref="K3:K66" si="0">IF(J3="Yes","Left","Active")</f>
        <v>Active</v>
      </c>
      <c r="L3" t="str">
        <f t="shared" ref="L3:L66" si="1">IF(F3&lt;40000,"Low",
 IF(F3&lt;=70000,"Medium","High"))</f>
        <v>High</v>
      </c>
      <c r="M3" t="str">
        <f t="shared" ref="M3:M66" si="2">IF(H3&lt;3,"&lt;3 Years",
 IF(H3&lt;=7,"3–7 Years","&gt;7 Years"))</f>
        <v>&gt;7 Years</v>
      </c>
    </row>
    <row r="4" spans="1:13" x14ac:dyDescent="0.3">
      <c r="A4" s="2" t="s">
        <v>19</v>
      </c>
      <c r="B4" s="2">
        <v>32</v>
      </c>
      <c r="C4" s="2" t="s">
        <v>11</v>
      </c>
      <c r="D4" s="2" t="s">
        <v>36</v>
      </c>
      <c r="E4" s="2" t="s">
        <v>20</v>
      </c>
      <c r="F4" s="2">
        <v>60000</v>
      </c>
      <c r="G4" s="2">
        <v>3</v>
      </c>
      <c r="H4" s="2">
        <v>4</v>
      </c>
      <c r="I4" s="2">
        <v>2</v>
      </c>
      <c r="J4" t="s">
        <v>14</v>
      </c>
      <c r="K4" t="str">
        <f t="shared" si="0"/>
        <v>Left</v>
      </c>
      <c r="L4" t="str">
        <f t="shared" si="1"/>
        <v>Medium</v>
      </c>
      <c r="M4" t="str">
        <f t="shared" si="2"/>
        <v>3–7 Years</v>
      </c>
    </row>
    <row r="5" spans="1:13" x14ac:dyDescent="0.3">
      <c r="A5" s="2" t="s">
        <v>21</v>
      </c>
      <c r="B5" s="2">
        <v>39</v>
      </c>
      <c r="C5" s="2" t="s">
        <v>11</v>
      </c>
      <c r="D5" s="2" t="s">
        <v>12</v>
      </c>
      <c r="E5" s="2" t="s">
        <v>13</v>
      </c>
      <c r="F5" s="2">
        <v>81666.666666666701</v>
      </c>
      <c r="G5" s="2">
        <v>3</v>
      </c>
      <c r="H5" s="2">
        <v>7.3333333333333304</v>
      </c>
      <c r="I5" s="2">
        <v>2</v>
      </c>
      <c r="J5" t="s">
        <v>14</v>
      </c>
      <c r="K5" t="str">
        <f t="shared" si="0"/>
        <v>Left</v>
      </c>
      <c r="L5" t="str">
        <f t="shared" si="1"/>
        <v>High</v>
      </c>
      <c r="M5" t="str">
        <f t="shared" si="2"/>
        <v>&gt;7 Years</v>
      </c>
    </row>
    <row r="6" spans="1:13" x14ac:dyDescent="0.3">
      <c r="A6" s="2" t="s">
        <v>22</v>
      </c>
      <c r="B6" s="2">
        <v>41</v>
      </c>
      <c r="C6" s="2" t="s">
        <v>16</v>
      </c>
      <c r="D6" s="2" t="s">
        <v>35</v>
      </c>
      <c r="E6" s="2" t="s">
        <v>17</v>
      </c>
      <c r="F6" s="2">
        <v>94166.666666666701</v>
      </c>
      <c r="G6" s="2">
        <v>2.5</v>
      </c>
      <c r="H6" s="2">
        <v>8.3333333333333304</v>
      </c>
      <c r="I6" s="2">
        <v>1.5</v>
      </c>
      <c r="J6" t="s">
        <v>18</v>
      </c>
      <c r="K6" t="str">
        <f t="shared" si="0"/>
        <v>Active</v>
      </c>
      <c r="L6" t="str">
        <f t="shared" si="1"/>
        <v>High</v>
      </c>
      <c r="M6" t="str">
        <f t="shared" si="2"/>
        <v>&gt;7 Years</v>
      </c>
    </row>
    <row r="7" spans="1:13" x14ac:dyDescent="0.3">
      <c r="A7" s="2" t="s">
        <v>23</v>
      </c>
      <c r="B7" s="2">
        <v>43</v>
      </c>
      <c r="C7" s="2" t="s">
        <v>11</v>
      </c>
      <c r="D7" s="2" t="s">
        <v>36</v>
      </c>
      <c r="E7" s="2" t="s">
        <v>20</v>
      </c>
      <c r="F7" s="2">
        <v>106666.66666666701</v>
      </c>
      <c r="G7" s="2">
        <v>2</v>
      </c>
      <c r="H7" s="2">
        <v>9.3333333333333304</v>
      </c>
      <c r="I7" s="2">
        <v>1</v>
      </c>
      <c r="J7" t="s">
        <v>14</v>
      </c>
      <c r="K7" t="str">
        <f t="shared" si="0"/>
        <v>Left</v>
      </c>
      <c r="L7" t="str">
        <f t="shared" si="1"/>
        <v>High</v>
      </c>
      <c r="M7" t="str">
        <f t="shared" si="2"/>
        <v>&gt;7 Years</v>
      </c>
    </row>
    <row r="8" spans="1:13" x14ac:dyDescent="0.3">
      <c r="A8" s="2" t="s">
        <v>24</v>
      </c>
      <c r="B8" s="2">
        <v>45</v>
      </c>
      <c r="C8" s="2" t="s">
        <v>11</v>
      </c>
      <c r="D8" s="2" t="s">
        <v>12</v>
      </c>
      <c r="E8" s="2" t="s">
        <v>13</v>
      </c>
      <c r="F8" s="2">
        <v>119166.66666666701</v>
      </c>
      <c r="G8" s="2">
        <v>1.5</v>
      </c>
      <c r="H8" s="2">
        <v>10.3333333333333</v>
      </c>
      <c r="I8" s="2">
        <v>0.5</v>
      </c>
      <c r="J8" t="s">
        <v>14</v>
      </c>
      <c r="K8" t="str">
        <f t="shared" si="0"/>
        <v>Left</v>
      </c>
      <c r="L8" t="str">
        <f t="shared" si="1"/>
        <v>High</v>
      </c>
      <c r="M8" t="str">
        <f t="shared" si="2"/>
        <v>&gt;7 Years</v>
      </c>
    </row>
    <row r="9" spans="1:13" x14ac:dyDescent="0.3">
      <c r="A9" s="2" t="s">
        <v>25</v>
      </c>
      <c r="B9" s="2">
        <v>47</v>
      </c>
      <c r="C9" s="2" t="s">
        <v>16</v>
      </c>
      <c r="D9" s="2" t="s">
        <v>35</v>
      </c>
      <c r="E9" s="2" t="s">
        <v>17</v>
      </c>
      <c r="F9" s="2">
        <v>131666.66666666701</v>
      </c>
      <c r="G9" s="2">
        <v>1</v>
      </c>
      <c r="H9" s="2">
        <v>11.3333333333333</v>
      </c>
      <c r="I9" s="2">
        <v>0</v>
      </c>
      <c r="J9" t="s">
        <v>18</v>
      </c>
      <c r="K9" t="str">
        <f t="shared" si="0"/>
        <v>Active</v>
      </c>
      <c r="L9" t="str">
        <f t="shared" si="1"/>
        <v>High</v>
      </c>
      <c r="M9" t="str">
        <f t="shared" si="2"/>
        <v>&gt;7 Years</v>
      </c>
    </row>
    <row r="10" spans="1:13" x14ac:dyDescent="0.3">
      <c r="A10" s="2" t="s">
        <v>26</v>
      </c>
      <c r="B10" s="2">
        <v>49</v>
      </c>
      <c r="C10" s="2" t="s">
        <v>11</v>
      </c>
      <c r="D10" s="2" t="s">
        <v>36</v>
      </c>
      <c r="E10" s="2" t="s">
        <v>20</v>
      </c>
      <c r="F10" s="2">
        <v>144166.66666666701</v>
      </c>
      <c r="G10" s="2">
        <v>3</v>
      </c>
      <c r="H10" s="2">
        <v>12.3333333333333</v>
      </c>
      <c r="I10" s="2">
        <v>-0.5</v>
      </c>
      <c r="J10" t="s">
        <v>14</v>
      </c>
      <c r="K10" t="str">
        <f t="shared" si="0"/>
        <v>Left</v>
      </c>
      <c r="L10" t="str">
        <f t="shared" si="1"/>
        <v>High</v>
      </c>
      <c r="M10" t="str">
        <f t="shared" si="2"/>
        <v>&gt;7 Years</v>
      </c>
    </row>
    <row r="11" spans="1:13" x14ac:dyDescent="0.3">
      <c r="A11" s="2" t="s">
        <v>27</v>
      </c>
      <c r="B11" s="2">
        <v>51</v>
      </c>
      <c r="C11" s="2" t="s">
        <v>11</v>
      </c>
      <c r="D11" s="2" t="s">
        <v>12</v>
      </c>
      <c r="E11" s="2" t="s">
        <v>13</v>
      </c>
      <c r="F11" s="2">
        <v>156666.66666666701</v>
      </c>
      <c r="G11" s="2">
        <v>3</v>
      </c>
      <c r="H11" s="2">
        <v>13.3333333333333</v>
      </c>
      <c r="I11" s="2">
        <v>-1</v>
      </c>
      <c r="J11" t="s">
        <v>14</v>
      </c>
      <c r="K11" t="str">
        <f t="shared" si="0"/>
        <v>Left</v>
      </c>
      <c r="L11" t="str">
        <f t="shared" si="1"/>
        <v>High</v>
      </c>
      <c r="M11" t="str">
        <f t="shared" si="2"/>
        <v>&gt;7 Years</v>
      </c>
    </row>
    <row r="12" spans="1:13" x14ac:dyDescent="0.3">
      <c r="A12" s="2" t="s">
        <v>28</v>
      </c>
      <c r="B12" s="2">
        <v>53</v>
      </c>
      <c r="C12" s="2" t="s">
        <v>16</v>
      </c>
      <c r="D12" s="2" t="s">
        <v>35</v>
      </c>
      <c r="E12" s="2" t="s">
        <v>17</v>
      </c>
      <c r="F12" s="2">
        <v>169166.66666666701</v>
      </c>
      <c r="G12" s="2">
        <v>3</v>
      </c>
      <c r="H12" s="2">
        <v>14.3333333333333</v>
      </c>
      <c r="I12" s="2">
        <v>-1.5</v>
      </c>
      <c r="J12" t="s">
        <v>18</v>
      </c>
      <c r="K12" t="str">
        <f t="shared" si="0"/>
        <v>Active</v>
      </c>
      <c r="L12" t="str">
        <f t="shared" si="1"/>
        <v>High</v>
      </c>
      <c r="M12" t="str">
        <f t="shared" si="2"/>
        <v>&gt;7 Years</v>
      </c>
    </row>
    <row r="13" spans="1:13" x14ac:dyDescent="0.3">
      <c r="A13" s="2" t="s">
        <v>29</v>
      </c>
      <c r="B13" s="2">
        <v>55</v>
      </c>
      <c r="C13" s="2" t="s">
        <v>11</v>
      </c>
      <c r="D13" s="2" t="s">
        <v>36</v>
      </c>
      <c r="E13" s="2" t="s">
        <v>20</v>
      </c>
      <c r="F13" s="2">
        <v>181666.66666666701</v>
      </c>
      <c r="G13" s="2">
        <v>3</v>
      </c>
      <c r="H13" s="2">
        <v>15.3333333333333</v>
      </c>
      <c r="I13" s="2">
        <v>-2</v>
      </c>
      <c r="J13" t="s">
        <v>14</v>
      </c>
      <c r="K13" t="str">
        <f t="shared" si="0"/>
        <v>Left</v>
      </c>
      <c r="L13" t="str">
        <f t="shared" si="1"/>
        <v>High</v>
      </c>
      <c r="M13" t="str">
        <f t="shared" si="2"/>
        <v>&gt;7 Years</v>
      </c>
    </row>
    <row r="14" spans="1:13" x14ac:dyDescent="0.3">
      <c r="A14" s="2" t="s">
        <v>30</v>
      </c>
      <c r="B14" s="2">
        <v>57</v>
      </c>
      <c r="C14" s="2" t="s">
        <v>11</v>
      </c>
      <c r="D14" s="2" t="s">
        <v>12</v>
      </c>
      <c r="E14" s="2" t="s">
        <v>13</v>
      </c>
      <c r="F14" s="2">
        <v>194166.66666666701</v>
      </c>
      <c r="G14" s="2">
        <v>3</v>
      </c>
      <c r="H14" s="2">
        <v>16.3333333333333</v>
      </c>
      <c r="I14" s="2">
        <v>-2.5</v>
      </c>
      <c r="J14" t="s">
        <v>14</v>
      </c>
      <c r="K14" t="str">
        <f t="shared" si="0"/>
        <v>Left</v>
      </c>
      <c r="L14" t="str">
        <f t="shared" si="1"/>
        <v>High</v>
      </c>
      <c r="M14" t="str">
        <f t="shared" si="2"/>
        <v>&gt;7 Years</v>
      </c>
    </row>
    <row r="15" spans="1:13" x14ac:dyDescent="0.3">
      <c r="A15" s="2" t="s">
        <v>31</v>
      </c>
      <c r="B15" s="2">
        <v>59</v>
      </c>
      <c r="C15" s="2" t="s">
        <v>16</v>
      </c>
      <c r="D15" s="2" t="s">
        <v>35</v>
      </c>
      <c r="E15" s="2" t="s">
        <v>17</v>
      </c>
      <c r="F15" s="2">
        <v>206666.66666666701</v>
      </c>
      <c r="G15" s="2">
        <v>3</v>
      </c>
      <c r="H15" s="2">
        <v>17.3333333333333</v>
      </c>
      <c r="I15" s="2">
        <v>-3</v>
      </c>
      <c r="J15" t="s">
        <v>18</v>
      </c>
      <c r="K15" t="str">
        <f t="shared" si="0"/>
        <v>Active</v>
      </c>
      <c r="L15" t="str">
        <f t="shared" si="1"/>
        <v>High</v>
      </c>
      <c r="M15" t="str">
        <f t="shared" si="2"/>
        <v>&gt;7 Years</v>
      </c>
    </row>
    <row r="16" spans="1:13" x14ac:dyDescent="0.3">
      <c r="A16" s="2" t="s">
        <v>32</v>
      </c>
      <c r="B16" s="2">
        <v>61</v>
      </c>
      <c r="C16" s="2" t="s">
        <v>11</v>
      </c>
      <c r="D16" s="2" t="s">
        <v>36</v>
      </c>
      <c r="E16" s="2" t="s">
        <v>20</v>
      </c>
      <c r="F16" s="2">
        <v>219166.66666666701</v>
      </c>
      <c r="G16" s="2">
        <v>3</v>
      </c>
      <c r="H16" s="2">
        <v>18.3333333333333</v>
      </c>
      <c r="I16" s="2">
        <v>-3.5</v>
      </c>
      <c r="J16" t="s">
        <v>14</v>
      </c>
      <c r="K16" t="str">
        <f t="shared" si="0"/>
        <v>Left</v>
      </c>
      <c r="L16" t="str">
        <f t="shared" si="1"/>
        <v>High</v>
      </c>
      <c r="M16" t="str">
        <f t="shared" si="2"/>
        <v>&gt;7 Years</v>
      </c>
    </row>
    <row r="17" spans="1:13" x14ac:dyDescent="0.3">
      <c r="A17" s="2" t="s">
        <v>33</v>
      </c>
      <c r="B17" s="2">
        <v>63</v>
      </c>
      <c r="C17" s="2" t="s">
        <v>11</v>
      </c>
      <c r="D17" s="2" t="s">
        <v>12</v>
      </c>
      <c r="E17" s="2" t="s">
        <v>13</v>
      </c>
      <c r="F17" s="2">
        <v>231666.66666666701</v>
      </c>
      <c r="G17" s="2">
        <v>3</v>
      </c>
      <c r="H17" s="2">
        <v>19.3333333333333</v>
      </c>
      <c r="I17" s="2">
        <v>-4</v>
      </c>
      <c r="J17" t="s">
        <v>14</v>
      </c>
      <c r="K17" t="str">
        <f t="shared" si="0"/>
        <v>Left</v>
      </c>
      <c r="L17" t="str">
        <f t="shared" si="1"/>
        <v>High</v>
      </c>
      <c r="M17" t="str">
        <f t="shared" si="2"/>
        <v>&gt;7 Years</v>
      </c>
    </row>
    <row r="18" spans="1:13" x14ac:dyDescent="0.3">
      <c r="A18" s="2" t="s">
        <v>34</v>
      </c>
      <c r="B18" s="2">
        <v>65</v>
      </c>
      <c r="C18" s="2" t="s">
        <v>16</v>
      </c>
      <c r="D18" s="2" t="s">
        <v>35</v>
      </c>
      <c r="E18" s="2" t="s">
        <v>17</v>
      </c>
      <c r="F18" s="2">
        <v>244166.66666666701</v>
      </c>
      <c r="G18" s="2">
        <v>3</v>
      </c>
      <c r="H18" s="2">
        <v>20.3333333333333</v>
      </c>
      <c r="I18" s="2">
        <v>-4.5</v>
      </c>
      <c r="J18" t="s">
        <v>18</v>
      </c>
      <c r="K18" t="str">
        <f t="shared" si="0"/>
        <v>Active</v>
      </c>
      <c r="L18" t="str">
        <f t="shared" si="1"/>
        <v>High</v>
      </c>
      <c r="M18" t="str">
        <f t="shared" si="2"/>
        <v>&gt;7 Years</v>
      </c>
    </row>
    <row r="19" spans="1:13" x14ac:dyDescent="0.3">
      <c r="A19" s="2"/>
      <c r="B19" s="2"/>
      <c r="C19" s="2"/>
      <c r="D19" s="2"/>
      <c r="E19" s="2"/>
      <c r="F19" s="2"/>
      <c r="G19" s="2"/>
      <c r="H19" s="2"/>
      <c r="I19" s="2"/>
    </row>
    <row r="20" spans="1:13" x14ac:dyDescent="0.3">
      <c r="A20" s="2"/>
      <c r="B20" s="2"/>
      <c r="C20" s="2"/>
      <c r="D20" s="2"/>
      <c r="E20" s="2"/>
      <c r="F20" s="2"/>
      <c r="G20" s="2"/>
      <c r="H20" s="2"/>
      <c r="I20" s="2"/>
    </row>
    <row r="21" spans="1:13" x14ac:dyDescent="0.3">
      <c r="A21" s="2"/>
      <c r="B21" s="2"/>
      <c r="C21" s="2"/>
      <c r="D21" s="2"/>
      <c r="E21" s="2"/>
      <c r="F21" s="2"/>
      <c r="G21" s="2"/>
      <c r="H21" s="2"/>
      <c r="I21" s="2"/>
    </row>
    <row r="22" spans="1:13" x14ac:dyDescent="0.3">
      <c r="A22" s="2"/>
      <c r="B22" s="2"/>
      <c r="C22" s="2"/>
      <c r="D22" s="2"/>
      <c r="E22" s="2"/>
      <c r="F22" s="2"/>
      <c r="G22" s="2"/>
      <c r="H22" s="2"/>
      <c r="I22" s="2"/>
    </row>
    <row r="23" spans="1:13" x14ac:dyDescent="0.3">
      <c r="A23" s="2"/>
      <c r="B23" s="2"/>
      <c r="C23" s="2"/>
      <c r="D23" s="2"/>
      <c r="E23" s="2"/>
      <c r="F23" s="2"/>
      <c r="G23" s="2"/>
      <c r="H23" s="2"/>
      <c r="I23" s="2"/>
    </row>
    <row r="24" spans="1:13" x14ac:dyDescent="0.3">
      <c r="A24" s="2"/>
      <c r="B24" s="2"/>
      <c r="C24" s="2"/>
      <c r="D24" s="2"/>
      <c r="E24" s="2"/>
      <c r="F24" s="2"/>
      <c r="G24" s="2"/>
      <c r="H24" s="2"/>
      <c r="I24" s="2"/>
    </row>
    <row r="25" spans="1:13" x14ac:dyDescent="0.3">
      <c r="A25" s="2"/>
      <c r="B25" s="2"/>
      <c r="C25" s="2"/>
      <c r="D25" s="2"/>
      <c r="E25" s="2"/>
      <c r="F25" s="2"/>
      <c r="G25" s="2"/>
      <c r="H25" s="2"/>
      <c r="I25" s="2"/>
    </row>
    <row r="26" spans="1:13" x14ac:dyDescent="0.3">
      <c r="A26" s="2"/>
      <c r="B26" s="2"/>
      <c r="C26" s="2"/>
      <c r="D26" s="2"/>
      <c r="E26" s="2"/>
      <c r="F26" s="2"/>
      <c r="G26" s="2"/>
      <c r="H26" s="2"/>
      <c r="I26" s="2"/>
    </row>
    <row r="27" spans="1:13" x14ac:dyDescent="0.3">
      <c r="A27" s="2"/>
      <c r="B27" s="2"/>
      <c r="C27" s="2"/>
      <c r="D27" s="2"/>
      <c r="E27" s="2"/>
      <c r="F27" s="2"/>
      <c r="G27" s="2"/>
      <c r="H27" s="2"/>
      <c r="I27" s="2"/>
    </row>
    <row r="28" spans="1:13" x14ac:dyDescent="0.3">
      <c r="A28" s="2"/>
      <c r="B28" s="2"/>
      <c r="C28" s="2"/>
      <c r="D28" s="2"/>
      <c r="E28" s="2"/>
      <c r="F28" s="2"/>
      <c r="G28" s="2"/>
      <c r="H28" s="2"/>
      <c r="I28" s="2"/>
    </row>
    <row r="29" spans="1:13" x14ac:dyDescent="0.3">
      <c r="A29" s="2"/>
      <c r="B29" s="2"/>
      <c r="C29" s="2"/>
      <c r="D29" s="2"/>
      <c r="E29" s="2"/>
      <c r="F29" s="2"/>
      <c r="G29" s="2"/>
      <c r="H29" s="2"/>
      <c r="I29" s="2"/>
    </row>
    <row r="30" spans="1:13" x14ac:dyDescent="0.3">
      <c r="A30" s="2"/>
      <c r="B30" s="2"/>
      <c r="C30" s="2"/>
      <c r="D30" s="2"/>
      <c r="E30" s="2"/>
      <c r="F30" s="2"/>
      <c r="G30" s="2"/>
      <c r="H30" s="2"/>
      <c r="I30" s="2"/>
    </row>
    <row r="31" spans="1:13" x14ac:dyDescent="0.3">
      <c r="A31" s="2"/>
      <c r="B31" s="2"/>
      <c r="C31" s="2"/>
      <c r="D31" s="2"/>
      <c r="E31" s="2"/>
      <c r="F31" s="2"/>
      <c r="G31" s="2"/>
      <c r="H31" s="2"/>
      <c r="I31" s="2"/>
    </row>
    <row r="32" spans="1:13" x14ac:dyDescent="0.3">
      <c r="A32" s="2"/>
      <c r="B32" s="2"/>
      <c r="C32" s="2"/>
      <c r="D32" s="2"/>
      <c r="E32" s="2"/>
      <c r="F32" s="2"/>
      <c r="G32" s="2"/>
      <c r="H32" s="2"/>
      <c r="I32" s="2"/>
    </row>
    <row r="33" spans="1:9" x14ac:dyDescent="0.3">
      <c r="A33" s="2"/>
      <c r="B33" s="2"/>
      <c r="C33" s="2"/>
      <c r="D33" s="2"/>
      <c r="E33" s="2"/>
      <c r="F33" s="2"/>
      <c r="G33" s="2"/>
      <c r="H33" s="2"/>
      <c r="I33" s="2"/>
    </row>
    <row r="34" spans="1:9" x14ac:dyDescent="0.3">
      <c r="A34" s="2"/>
      <c r="B34" s="2"/>
      <c r="C34" s="2"/>
      <c r="D34" s="2"/>
      <c r="E34" s="2"/>
      <c r="F34" s="2"/>
      <c r="G34" s="2"/>
      <c r="H34" s="2"/>
      <c r="I34" s="2"/>
    </row>
    <row r="35" spans="1:9" x14ac:dyDescent="0.3">
      <c r="A35" s="2"/>
      <c r="B35" s="2"/>
      <c r="C35" s="2"/>
      <c r="D35" s="2"/>
      <c r="E35" s="2"/>
      <c r="F35" s="2"/>
      <c r="G35" s="2"/>
      <c r="H35" s="2"/>
      <c r="I35" s="2"/>
    </row>
    <row r="36" spans="1:9" x14ac:dyDescent="0.3">
      <c r="A36" s="2"/>
      <c r="B36" s="2"/>
      <c r="C36" s="2"/>
      <c r="D36" s="2"/>
      <c r="E36" s="2"/>
      <c r="F36" s="2"/>
      <c r="G36" s="2"/>
      <c r="H36" s="2"/>
      <c r="I36" s="2"/>
    </row>
    <row r="37" spans="1:9" x14ac:dyDescent="0.3">
      <c r="A37" s="2"/>
      <c r="B37" s="2"/>
      <c r="C37" s="2"/>
      <c r="D37" s="2"/>
      <c r="E37" s="2"/>
      <c r="F37" s="2"/>
      <c r="G37" s="2"/>
      <c r="H37" s="2"/>
      <c r="I37" s="2"/>
    </row>
    <row r="38" spans="1:9" x14ac:dyDescent="0.3">
      <c r="A38" s="2"/>
      <c r="B38" s="2"/>
      <c r="C38" s="2"/>
      <c r="D38" s="2"/>
      <c r="E38" s="2"/>
      <c r="F38" s="2"/>
      <c r="G38" s="2"/>
      <c r="H38" s="2"/>
      <c r="I38" s="2"/>
    </row>
    <row r="39" spans="1:9" x14ac:dyDescent="0.3">
      <c r="A39" s="2"/>
      <c r="B39" s="2"/>
      <c r="C39" s="2"/>
      <c r="D39" s="2"/>
      <c r="E39" s="2"/>
      <c r="F39" s="2"/>
      <c r="G39" s="2"/>
      <c r="H39" s="2"/>
      <c r="I39" s="2"/>
    </row>
    <row r="40" spans="1:9" x14ac:dyDescent="0.3">
      <c r="A40" s="2"/>
      <c r="B40" s="2"/>
      <c r="C40" s="2"/>
      <c r="D40" s="2"/>
      <c r="E40" s="2"/>
      <c r="F40" s="2"/>
      <c r="G40" s="2"/>
      <c r="H40" s="2"/>
      <c r="I40" s="2"/>
    </row>
    <row r="41" spans="1:9" x14ac:dyDescent="0.3">
      <c r="A41" s="2"/>
      <c r="B41" s="2"/>
      <c r="C41" s="2"/>
      <c r="D41" s="2"/>
      <c r="E41" s="2"/>
      <c r="F41" s="2"/>
      <c r="G41" s="2"/>
      <c r="H41" s="2"/>
      <c r="I41" s="2"/>
    </row>
    <row r="42" spans="1:9" x14ac:dyDescent="0.3">
      <c r="A42" s="2"/>
      <c r="B42" s="2"/>
      <c r="C42" s="2"/>
      <c r="D42" s="2"/>
      <c r="E42" s="2"/>
      <c r="F42" s="2"/>
      <c r="G42" s="2"/>
      <c r="H42" s="2"/>
      <c r="I42" s="2"/>
    </row>
    <row r="43" spans="1:9" x14ac:dyDescent="0.3">
      <c r="A43" s="2"/>
      <c r="B43" s="2"/>
      <c r="C43" s="2"/>
      <c r="D43" s="2"/>
      <c r="E43" s="2"/>
      <c r="F43" s="2"/>
      <c r="G43" s="2"/>
      <c r="H43" s="2"/>
      <c r="I43" s="2"/>
    </row>
    <row r="44" spans="1:9" x14ac:dyDescent="0.3">
      <c r="A44" s="2"/>
      <c r="B44" s="2"/>
      <c r="C44" s="2"/>
      <c r="D44" s="2"/>
      <c r="E44" s="2"/>
      <c r="F44" s="2"/>
      <c r="G44" s="2"/>
      <c r="H44" s="2"/>
      <c r="I44" s="2"/>
    </row>
    <row r="45" spans="1:9" x14ac:dyDescent="0.3">
      <c r="A45" s="2"/>
      <c r="B45" s="2"/>
      <c r="C45" s="2"/>
      <c r="D45" s="2"/>
      <c r="E45" s="2"/>
      <c r="F45" s="2"/>
      <c r="G45" s="2"/>
      <c r="H45" s="2"/>
      <c r="I45" s="2"/>
    </row>
    <row r="46" spans="1:9" x14ac:dyDescent="0.3">
      <c r="A46" s="2"/>
      <c r="B46" s="2"/>
      <c r="C46" s="2"/>
      <c r="D46" s="2"/>
      <c r="E46" s="2"/>
      <c r="F46" s="2"/>
      <c r="G46" s="2"/>
      <c r="H46" s="2"/>
      <c r="I46" s="2"/>
    </row>
    <row r="47" spans="1:9" x14ac:dyDescent="0.3">
      <c r="A47" s="2"/>
      <c r="B47" s="2"/>
      <c r="C47" s="2"/>
      <c r="D47" s="2"/>
      <c r="E47" s="2"/>
      <c r="F47" s="2"/>
      <c r="G47" s="2"/>
      <c r="H47" s="2"/>
      <c r="I47" s="2"/>
    </row>
    <row r="48" spans="1:9" x14ac:dyDescent="0.3">
      <c r="A48" s="2"/>
      <c r="B48" s="2"/>
      <c r="C48" s="2"/>
      <c r="D48" s="2"/>
      <c r="E48" s="2"/>
      <c r="F48" s="2"/>
      <c r="G48" s="2"/>
      <c r="H48" s="2"/>
      <c r="I48" s="2"/>
    </row>
    <row r="49" spans="1:9" x14ac:dyDescent="0.3">
      <c r="A49" s="2"/>
      <c r="B49" s="2"/>
      <c r="C49" s="2"/>
      <c r="D49" s="2"/>
      <c r="E49" s="2"/>
      <c r="F49" s="2"/>
      <c r="G49" s="2"/>
      <c r="H49" s="2"/>
      <c r="I49" s="2"/>
    </row>
    <row r="50" spans="1:9" x14ac:dyDescent="0.3">
      <c r="A50" s="2"/>
      <c r="B50" s="2"/>
      <c r="C50" s="2"/>
      <c r="D50" s="2"/>
      <c r="E50" s="2"/>
      <c r="F50" s="2"/>
      <c r="G50" s="2"/>
      <c r="H50" s="2"/>
      <c r="I50" s="2"/>
    </row>
    <row r="51" spans="1:9" x14ac:dyDescent="0.3">
      <c r="A51" s="2"/>
      <c r="B51" s="2"/>
      <c r="C51" s="2"/>
      <c r="D51" s="2"/>
      <c r="E51" s="2"/>
      <c r="F51" s="2"/>
      <c r="G51" s="2"/>
      <c r="H51" s="2"/>
      <c r="I51" s="2"/>
    </row>
    <row r="52" spans="1:9" x14ac:dyDescent="0.3">
      <c r="A52" s="2"/>
      <c r="B52" s="2"/>
      <c r="C52" s="2"/>
      <c r="D52" s="2"/>
      <c r="E52" s="2"/>
      <c r="F52" s="2"/>
      <c r="G52" s="2"/>
      <c r="H52" s="2"/>
      <c r="I52" s="2"/>
    </row>
    <row r="53" spans="1:9" x14ac:dyDescent="0.3">
      <c r="A53" s="2"/>
      <c r="B53" s="2"/>
      <c r="C53" s="2"/>
      <c r="D53" s="2"/>
      <c r="E53" s="2"/>
      <c r="F53" s="2"/>
      <c r="G53" s="2"/>
      <c r="H53" s="2"/>
      <c r="I53" s="2"/>
    </row>
    <row r="54" spans="1:9" x14ac:dyDescent="0.3">
      <c r="A54" s="2"/>
      <c r="B54" s="2"/>
      <c r="C54" s="2"/>
      <c r="D54" s="2"/>
      <c r="E54" s="2"/>
      <c r="F54" s="2"/>
      <c r="G54" s="2"/>
      <c r="H54" s="2"/>
      <c r="I54" s="2"/>
    </row>
    <row r="55" spans="1:9" x14ac:dyDescent="0.3">
      <c r="A55" s="2"/>
      <c r="B55" s="2"/>
      <c r="C55" s="2"/>
      <c r="D55" s="2"/>
      <c r="E55" s="2"/>
      <c r="F55" s="2"/>
      <c r="G55" s="2"/>
      <c r="H55" s="2"/>
      <c r="I55" s="2"/>
    </row>
    <row r="56" spans="1:9" x14ac:dyDescent="0.3">
      <c r="A56" s="2"/>
      <c r="B56" s="2"/>
      <c r="C56" s="2"/>
      <c r="D56" s="2"/>
      <c r="E56" s="2"/>
      <c r="F56" s="2"/>
      <c r="G56" s="2"/>
      <c r="H56" s="2"/>
      <c r="I56" s="2"/>
    </row>
    <row r="57" spans="1:9" x14ac:dyDescent="0.3">
      <c r="A57" s="2"/>
      <c r="B57" s="2"/>
      <c r="C57" s="2"/>
      <c r="D57" s="2"/>
      <c r="E57" s="2"/>
      <c r="F57" s="2"/>
      <c r="G57" s="2"/>
      <c r="H57" s="2"/>
      <c r="I57" s="2"/>
    </row>
    <row r="58" spans="1:9" x14ac:dyDescent="0.3">
      <c r="A58" s="2"/>
      <c r="B58" s="2"/>
      <c r="C58" s="2"/>
      <c r="D58" s="2"/>
      <c r="E58" s="2"/>
      <c r="F58" s="2"/>
      <c r="G58" s="2"/>
      <c r="H58" s="2"/>
      <c r="I58" s="2"/>
    </row>
    <row r="59" spans="1:9" x14ac:dyDescent="0.3">
      <c r="A59" s="2"/>
      <c r="B59" s="2"/>
      <c r="C59" s="2"/>
      <c r="D59" s="2"/>
      <c r="E59" s="2"/>
      <c r="F59" s="2"/>
      <c r="G59" s="2"/>
      <c r="H59" s="2"/>
      <c r="I59" s="2"/>
    </row>
    <row r="60" spans="1:9" x14ac:dyDescent="0.3">
      <c r="A60" s="2"/>
      <c r="B60" s="2"/>
      <c r="C60" s="2"/>
      <c r="D60" s="2"/>
      <c r="E60" s="2"/>
      <c r="F60" s="2"/>
      <c r="G60" s="2"/>
      <c r="H60" s="2"/>
      <c r="I60" s="2"/>
    </row>
    <row r="61" spans="1:9" x14ac:dyDescent="0.3">
      <c r="A61" s="2"/>
      <c r="B61" s="2"/>
      <c r="C61" s="2"/>
      <c r="D61" s="2"/>
      <c r="E61" s="2"/>
      <c r="F61" s="2"/>
      <c r="G61" s="2"/>
      <c r="H61" s="2"/>
      <c r="I61" s="2"/>
    </row>
    <row r="62" spans="1:9" x14ac:dyDescent="0.3">
      <c r="A62" s="2"/>
      <c r="B62" s="2"/>
      <c r="C62" s="2"/>
      <c r="D62" s="2"/>
      <c r="E62" s="2"/>
      <c r="F62" s="2"/>
      <c r="G62" s="2"/>
      <c r="H62" s="2"/>
      <c r="I62" s="2"/>
    </row>
    <row r="63" spans="1:9" x14ac:dyDescent="0.3">
      <c r="A63" s="2"/>
      <c r="B63" s="2"/>
      <c r="C63" s="2"/>
      <c r="D63" s="2"/>
      <c r="E63" s="2"/>
      <c r="F63" s="2"/>
      <c r="G63" s="2"/>
      <c r="H63" s="2"/>
      <c r="I63" s="2"/>
    </row>
    <row r="64" spans="1:9" x14ac:dyDescent="0.3">
      <c r="A64" s="2"/>
      <c r="B64" s="2"/>
      <c r="C64" s="2"/>
      <c r="D64" s="2"/>
      <c r="E64" s="2"/>
      <c r="F64" s="2"/>
      <c r="G64" s="2"/>
      <c r="H64" s="2"/>
      <c r="I64" s="2"/>
    </row>
    <row r="65" spans="1:9" x14ac:dyDescent="0.3">
      <c r="A65" s="2"/>
      <c r="B65" s="2"/>
      <c r="C65" s="2"/>
      <c r="D65" s="2"/>
      <c r="E65" s="2"/>
      <c r="F65" s="2"/>
      <c r="G65" s="2"/>
      <c r="H65" s="2"/>
      <c r="I65" s="2"/>
    </row>
    <row r="66" spans="1:9" x14ac:dyDescent="0.3">
      <c r="A66" s="2"/>
      <c r="B66" s="2"/>
      <c r="C66" s="2"/>
      <c r="D66" s="2"/>
      <c r="E66" s="2"/>
      <c r="F66" s="2"/>
      <c r="G66" s="2"/>
      <c r="H66" s="2"/>
      <c r="I66" s="2"/>
    </row>
    <row r="67" spans="1:9" x14ac:dyDescent="0.3">
      <c r="A67" s="2"/>
      <c r="B67" s="2"/>
      <c r="C67" s="2"/>
      <c r="D67" s="2"/>
      <c r="E67" s="2"/>
      <c r="F67" s="2"/>
      <c r="G67" s="2"/>
      <c r="H67" s="2"/>
      <c r="I67" s="2"/>
    </row>
    <row r="68" spans="1:9" x14ac:dyDescent="0.3">
      <c r="A68" s="2"/>
      <c r="B68" s="2"/>
      <c r="C68" s="2"/>
      <c r="D68" s="2"/>
      <c r="E68" s="2"/>
      <c r="F68" s="2"/>
      <c r="G68" s="2"/>
      <c r="H68" s="2"/>
      <c r="I68" s="2"/>
    </row>
    <row r="69" spans="1:9" x14ac:dyDescent="0.3">
      <c r="A69" s="2"/>
      <c r="B69" s="2"/>
      <c r="C69" s="2"/>
      <c r="D69" s="2"/>
      <c r="E69" s="2"/>
      <c r="F69" s="2"/>
      <c r="G69" s="2"/>
      <c r="H69" s="2"/>
      <c r="I69" s="2"/>
    </row>
    <row r="70" spans="1:9" x14ac:dyDescent="0.3">
      <c r="A70" s="2"/>
      <c r="B70" s="2"/>
      <c r="C70" s="2"/>
      <c r="D70" s="2"/>
      <c r="E70" s="2"/>
      <c r="F70" s="2"/>
      <c r="G70" s="2"/>
      <c r="H70" s="2"/>
      <c r="I70" s="2"/>
    </row>
    <row r="71" spans="1:9" x14ac:dyDescent="0.3">
      <c r="A71" s="2"/>
      <c r="B71" s="2"/>
      <c r="C71" s="2"/>
      <c r="D71" s="2"/>
      <c r="E71" s="2"/>
      <c r="F71" s="2"/>
      <c r="G71" s="2"/>
      <c r="H71" s="2"/>
      <c r="I71" s="2"/>
    </row>
    <row r="72" spans="1:9" x14ac:dyDescent="0.3">
      <c r="A72" s="2"/>
      <c r="B72" s="2"/>
      <c r="C72" s="2"/>
      <c r="D72" s="2"/>
      <c r="E72" s="2"/>
      <c r="F72" s="2"/>
      <c r="G72" s="2"/>
      <c r="H72" s="2"/>
      <c r="I72" s="2"/>
    </row>
    <row r="73" spans="1:9" x14ac:dyDescent="0.3">
      <c r="A73" s="2"/>
      <c r="B73" s="2"/>
      <c r="C73" s="2"/>
      <c r="D73" s="2"/>
      <c r="E73" s="2"/>
      <c r="F73" s="2"/>
      <c r="G73" s="2"/>
      <c r="H73" s="2"/>
      <c r="I73" s="2"/>
    </row>
    <row r="74" spans="1:9" x14ac:dyDescent="0.3">
      <c r="A74" s="2"/>
      <c r="B74" s="2"/>
      <c r="C74" s="2"/>
      <c r="D74" s="2"/>
      <c r="E74" s="2"/>
      <c r="F74" s="2"/>
      <c r="G74" s="2"/>
      <c r="H74" s="2"/>
      <c r="I74" s="2"/>
    </row>
    <row r="75" spans="1:9" x14ac:dyDescent="0.3">
      <c r="A75" s="2"/>
      <c r="B75" s="2"/>
      <c r="C75" s="2"/>
      <c r="D75" s="2"/>
      <c r="E75" s="2"/>
      <c r="F75" s="2"/>
      <c r="G75" s="2"/>
      <c r="H75" s="2"/>
      <c r="I75" s="2"/>
    </row>
    <row r="76" spans="1:9" x14ac:dyDescent="0.3">
      <c r="A76" s="2"/>
      <c r="B76" s="2"/>
      <c r="C76" s="2"/>
      <c r="D76" s="2"/>
      <c r="E76" s="2"/>
      <c r="F76" s="2"/>
      <c r="G76" s="2"/>
      <c r="H76" s="2"/>
      <c r="I76" s="2"/>
    </row>
    <row r="77" spans="1:9" x14ac:dyDescent="0.3">
      <c r="A77" s="2"/>
      <c r="B77" s="2"/>
      <c r="C77" s="2"/>
      <c r="D77" s="2"/>
      <c r="E77" s="2"/>
      <c r="F77" s="2"/>
      <c r="G77" s="2"/>
      <c r="H77" s="2"/>
      <c r="I77" s="2"/>
    </row>
    <row r="78" spans="1:9" x14ac:dyDescent="0.3">
      <c r="A78" s="2"/>
      <c r="B78" s="2"/>
      <c r="C78" s="2"/>
      <c r="D78" s="2"/>
      <c r="E78" s="2"/>
      <c r="F78" s="2"/>
      <c r="G78" s="2"/>
      <c r="H78" s="2"/>
      <c r="I78" s="2"/>
    </row>
    <row r="79" spans="1:9" x14ac:dyDescent="0.3">
      <c r="A79" s="2"/>
      <c r="B79" s="2"/>
      <c r="C79" s="2"/>
      <c r="D79" s="2"/>
      <c r="E79" s="2"/>
      <c r="F79" s="2"/>
      <c r="G79" s="2"/>
      <c r="H79" s="2"/>
      <c r="I79" s="2"/>
    </row>
    <row r="80" spans="1:9" x14ac:dyDescent="0.3">
      <c r="A80" s="2"/>
      <c r="B80" s="2"/>
      <c r="C80" s="2"/>
      <c r="D80" s="2"/>
      <c r="E80" s="2"/>
      <c r="F80" s="2"/>
      <c r="G80" s="2"/>
      <c r="H80" s="2"/>
      <c r="I80" s="2"/>
    </row>
    <row r="81" spans="1:9" x14ac:dyDescent="0.3">
      <c r="A81" s="2"/>
      <c r="B81" s="2"/>
      <c r="C81" s="2"/>
      <c r="D81" s="2"/>
      <c r="E81" s="2"/>
      <c r="F81" s="2"/>
      <c r="G81" s="2"/>
      <c r="H81" s="2"/>
      <c r="I81" s="2"/>
    </row>
    <row r="82" spans="1:9" x14ac:dyDescent="0.3">
      <c r="A82" s="2"/>
      <c r="B82" s="2"/>
      <c r="C82" s="2"/>
      <c r="D82" s="2"/>
      <c r="E82" s="2"/>
      <c r="F82" s="2"/>
      <c r="G82" s="2"/>
      <c r="H82" s="2"/>
      <c r="I82" s="2"/>
    </row>
    <row r="83" spans="1:9" x14ac:dyDescent="0.3">
      <c r="A83" s="2"/>
      <c r="B83" s="2"/>
      <c r="C83" s="2"/>
      <c r="D83" s="2"/>
      <c r="E83" s="2"/>
      <c r="F83" s="2"/>
      <c r="G83" s="2"/>
      <c r="H83" s="2"/>
      <c r="I83" s="2"/>
    </row>
    <row r="84" spans="1:9" x14ac:dyDescent="0.3">
      <c r="A84" s="2"/>
      <c r="B84" s="2"/>
      <c r="C84" s="2"/>
      <c r="D84" s="2"/>
      <c r="E84" s="2"/>
      <c r="F84" s="2"/>
      <c r="G84" s="2"/>
      <c r="H84" s="2"/>
      <c r="I84" s="2"/>
    </row>
    <row r="85" spans="1:9" x14ac:dyDescent="0.3">
      <c r="A85" s="2"/>
      <c r="B85" s="2"/>
      <c r="C85" s="2"/>
      <c r="D85" s="2"/>
      <c r="E85" s="2"/>
      <c r="F85" s="2"/>
      <c r="G85" s="2"/>
      <c r="H85" s="2"/>
      <c r="I85" s="2"/>
    </row>
    <row r="86" spans="1:9" x14ac:dyDescent="0.3">
      <c r="A86" s="2"/>
      <c r="B86" s="2"/>
      <c r="C86" s="2"/>
      <c r="D86" s="2"/>
      <c r="E86" s="2"/>
      <c r="F86" s="2"/>
      <c r="G86" s="2"/>
      <c r="H86" s="2"/>
      <c r="I86" s="2"/>
    </row>
    <row r="87" spans="1:9" x14ac:dyDescent="0.3">
      <c r="A87" s="2"/>
      <c r="B87" s="2"/>
      <c r="C87" s="2"/>
      <c r="D87" s="2"/>
      <c r="E87" s="2"/>
      <c r="F87" s="2"/>
      <c r="G87" s="2"/>
      <c r="H87" s="2"/>
      <c r="I87" s="2"/>
    </row>
    <row r="88" spans="1:9" x14ac:dyDescent="0.3">
      <c r="A88" s="2"/>
      <c r="B88" s="2"/>
      <c r="C88" s="2"/>
      <c r="D88" s="2"/>
      <c r="E88" s="2"/>
      <c r="F88" s="2"/>
      <c r="G88" s="2"/>
      <c r="H88" s="2"/>
      <c r="I88" s="2"/>
    </row>
    <row r="89" spans="1:9" x14ac:dyDescent="0.3">
      <c r="A89" s="2"/>
      <c r="B89" s="2"/>
      <c r="C89" s="2"/>
      <c r="D89" s="2"/>
      <c r="E89" s="2"/>
      <c r="F89" s="2"/>
      <c r="G89" s="2"/>
      <c r="H89" s="2"/>
      <c r="I89" s="2"/>
    </row>
    <row r="90" spans="1:9" x14ac:dyDescent="0.3">
      <c r="A90" s="2"/>
      <c r="B90" s="2"/>
      <c r="C90" s="2"/>
      <c r="D90" s="2"/>
      <c r="E90" s="2"/>
      <c r="F90" s="2"/>
      <c r="G90" s="2"/>
      <c r="H90" s="2"/>
      <c r="I90" s="2"/>
    </row>
    <row r="91" spans="1:9" x14ac:dyDescent="0.3">
      <c r="A91" s="2"/>
      <c r="B91" s="2"/>
      <c r="C91" s="2"/>
      <c r="D91" s="2"/>
      <c r="E91" s="2"/>
      <c r="F91" s="2"/>
      <c r="G91" s="2"/>
      <c r="H91" s="2"/>
      <c r="I91" s="2"/>
    </row>
    <row r="92" spans="1:9" x14ac:dyDescent="0.3">
      <c r="A92" s="2"/>
      <c r="B92" s="2"/>
      <c r="C92" s="2"/>
      <c r="D92" s="2"/>
      <c r="E92" s="2"/>
      <c r="F92" s="2"/>
      <c r="G92" s="2"/>
      <c r="H92" s="2"/>
      <c r="I92" s="2"/>
    </row>
    <row r="93" spans="1:9" x14ac:dyDescent="0.3">
      <c r="A93" s="2"/>
      <c r="B93" s="2"/>
      <c r="C93" s="2"/>
      <c r="D93" s="2"/>
      <c r="E93" s="2"/>
      <c r="F93" s="2"/>
      <c r="G93" s="2"/>
      <c r="H93" s="2"/>
      <c r="I93" s="2"/>
    </row>
    <row r="94" spans="1:9" x14ac:dyDescent="0.3">
      <c r="A94" s="2"/>
      <c r="B94" s="2"/>
      <c r="C94" s="2"/>
      <c r="D94" s="2"/>
      <c r="E94" s="2"/>
      <c r="F94" s="2"/>
      <c r="G94" s="2"/>
      <c r="H94" s="2"/>
      <c r="I94" s="2"/>
    </row>
    <row r="95" spans="1:9" x14ac:dyDescent="0.3">
      <c r="A95" s="2"/>
      <c r="B95" s="2"/>
      <c r="C95" s="2"/>
      <c r="D95" s="2"/>
      <c r="E95" s="2"/>
      <c r="F95" s="2"/>
      <c r="G95" s="2"/>
      <c r="H95" s="2"/>
      <c r="I95" s="2"/>
    </row>
    <row r="96" spans="1:9" x14ac:dyDescent="0.3">
      <c r="A96" s="2"/>
      <c r="B96" s="2"/>
      <c r="C96" s="2"/>
      <c r="D96" s="2"/>
      <c r="E96" s="2"/>
      <c r="F96" s="2"/>
      <c r="G96" s="2"/>
      <c r="H96" s="2"/>
      <c r="I96" s="2"/>
    </row>
    <row r="97" spans="1:9" x14ac:dyDescent="0.3">
      <c r="A97" s="2"/>
      <c r="B97" s="2"/>
      <c r="C97" s="2"/>
      <c r="D97" s="2"/>
      <c r="E97" s="2"/>
      <c r="F97" s="2"/>
      <c r="G97" s="2"/>
      <c r="H97" s="2"/>
      <c r="I97" s="2"/>
    </row>
    <row r="98" spans="1:9" x14ac:dyDescent="0.3">
      <c r="A98" s="2"/>
      <c r="B98" s="2"/>
      <c r="C98" s="2"/>
      <c r="D98" s="2"/>
      <c r="E98" s="2"/>
      <c r="F98" s="2"/>
      <c r="G98" s="2"/>
      <c r="H98" s="2"/>
      <c r="I98" s="2"/>
    </row>
    <row r="99" spans="1:9" x14ac:dyDescent="0.3">
      <c r="A99" s="2"/>
      <c r="B99" s="2"/>
      <c r="C99" s="2"/>
      <c r="D99" s="2"/>
      <c r="E99" s="2"/>
      <c r="F99" s="2"/>
      <c r="G99" s="2"/>
      <c r="H99" s="2"/>
      <c r="I99" s="2"/>
    </row>
    <row r="100" spans="1:9" x14ac:dyDescent="0.3">
      <c r="A100" s="2"/>
      <c r="B100" s="2"/>
      <c r="C100" s="2"/>
      <c r="D100" s="2"/>
      <c r="E100" s="2"/>
      <c r="F100" s="2"/>
      <c r="G100" s="2"/>
      <c r="H100" s="2"/>
      <c r="I100" s="2"/>
    </row>
    <row r="101" spans="1:9" x14ac:dyDescent="0.3">
      <c r="A101" s="2"/>
      <c r="B101" s="2"/>
      <c r="C101" s="2"/>
      <c r="D101" s="2"/>
      <c r="E101" s="2"/>
      <c r="F101" s="2"/>
      <c r="G101" s="2"/>
      <c r="H101" s="2"/>
      <c r="I101" s="2"/>
    </row>
    <row r="102" spans="1:9" x14ac:dyDescent="0.3">
      <c r="A102" s="2"/>
      <c r="B102" s="2"/>
      <c r="C102" s="2"/>
      <c r="D102" s="2"/>
      <c r="E102" s="2"/>
      <c r="F102" s="2"/>
      <c r="G102" s="2"/>
      <c r="H102" s="2"/>
      <c r="I102" s="2"/>
    </row>
    <row r="103" spans="1:9" x14ac:dyDescent="0.3">
      <c r="A103" s="2"/>
      <c r="B103" s="2"/>
      <c r="C103" s="2"/>
      <c r="D103" s="2"/>
      <c r="E103" s="2"/>
      <c r="F103" s="2"/>
      <c r="G103" s="2"/>
      <c r="H103" s="2"/>
      <c r="I103" s="2"/>
    </row>
    <row r="104" spans="1:9" x14ac:dyDescent="0.3">
      <c r="A104" s="2"/>
      <c r="B104" s="2"/>
      <c r="C104" s="2"/>
      <c r="D104" s="2"/>
      <c r="E104" s="2"/>
      <c r="F104" s="2"/>
      <c r="G104" s="2"/>
      <c r="H104" s="2"/>
      <c r="I104" s="2"/>
    </row>
    <row r="105" spans="1:9" x14ac:dyDescent="0.3">
      <c r="A105" s="2"/>
      <c r="B105" s="2"/>
      <c r="C105" s="2"/>
      <c r="D105" s="2"/>
      <c r="E105" s="2"/>
      <c r="F105" s="2"/>
      <c r="G105" s="2"/>
      <c r="H105" s="2"/>
      <c r="I105" s="2"/>
    </row>
    <row r="106" spans="1:9" x14ac:dyDescent="0.3">
      <c r="A106" s="2"/>
      <c r="B106" s="2"/>
      <c r="C106" s="2"/>
      <c r="D106" s="2"/>
      <c r="E106" s="2"/>
      <c r="F106" s="2"/>
      <c r="G106" s="2"/>
      <c r="H106" s="2"/>
      <c r="I106" s="2"/>
    </row>
    <row r="107" spans="1:9" x14ac:dyDescent="0.3">
      <c r="A107" s="2"/>
      <c r="B107" s="2"/>
      <c r="C107" s="2"/>
      <c r="D107" s="2"/>
      <c r="E107" s="2"/>
      <c r="F107" s="2"/>
      <c r="G107" s="2"/>
      <c r="H107" s="2"/>
      <c r="I107" s="2"/>
    </row>
    <row r="108" spans="1:9" x14ac:dyDescent="0.3">
      <c r="A108" s="2"/>
      <c r="B108" s="2"/>
      <c r="C108" s="2"/>
      <c r="D108" s="2"/>
      <c r="E108" s="2"/>
      <c r="F108" s="2"/>
      <c r="G108" s="2"/>
      <c r="H108" s="2"/>
      <c r="I108" s="2"/>
    </row>
    <row r="109" spans="1:9" x14ac:dyDescent="0.3">
      <c r="A109" s="2"/>
      <c r="B109" s="2"/>
      <c r="C109" s="2"/>
      <c r="D109" s="2"/>
      <c r="E109" s="2"/>
      <c r="F109" s="2"/>
      <c r="G109" s="2"/>
      <c r="H109" s="2"/>
      <c r="I109" s="2"/>
    </row>
    <row r="110" spans="1:9" x14ac:dyDescent="0.3">
      <c r="A110" s="2"/>
      <c r="B110" s="2"/>
      <c r="C110" s="2"/>
      <c r="D110" s="2"/>
      <c r="E110" s="2"/>
      <c r="F110" s="2"/>
      <c r="G110" s="2"/>
      <c r="H110" s="2"/>
      <c r="I110" s="2"/>
    </row>
    <row r="111" spans="1:9" x14ac:dyDescent="0.3">
      <c r="A111" s="2"/>
      <c r="B111" s="2"/>
      <c r="C111" s="2"/>
      <c r="D111" s="2"/>
      <c r="E111" s="2"/>
      <c r="F111" s="2"/>
      <c r="G111" s="2"/>
      <c r="H111" s="2"/>
      <c r="I111" s="2"/>
    </row>
    <row r="112" spans="1:9" x14ac:dyDescent="0.3">
      <c r="A112" s="2"/>
      <c r="B112" s="2"/>
      <c r="C112" s="2"/>
      <c r="D112" s="2"/>
      <c r="E112" s="2"/>
      <c r="F112" s="2"/>
      <c r="G112" s="2"/>
      <c r="H112" s="2"/>
      <c r="I112" s="2"/>
    </row>
    <row r="113" spans="1:9" x14ac:dyDescent="0.3">
      <c r="A113" s="2"/>
      <c r="B113" s="2"/>
      <c r="C113" s="2"/>
      <c r="D113" s="2"/>
      <c r="E113" s="2"/>
      <c r="F113" s="2"/>
      <c r="G113" s="2"/>
      <c r="H113" s="2"/>
      <c r="I113" s="2"/>
    </row>
    <row r="114" spans="1:9" x14ac:dyDescent="0.3">
      <c r="A114" s="2"/>
      <c r="B114" s="2"/>
      <c r="C114" s="2"/>
      <c r="D114" s="2"/>
      <c r="E114" s="2"/>
      <c r="F114" s="2"/>
      <c r="G114" s="2"/>
      <c r="H114" s="2"/>
      <c r="I114" s="2"/>
    </row>
    <row r="115" spans="1:9" x14ac:dyDescent="0.3">
      <c r="A115" s="2"/>
      <c r="B115" s="2"/>
      <c r="C115" s="2"/>
      <c r="D115" s="2"/>
      <c r="E115" s="2"/>
      <c r="F115" s="2"/>
      <c r="G115" s="2"/>
      <c r="H115" s="2"/>
      <c r="I115" s="2"/>
    </row>
    <row r="116" spans="1:9" x14ac:dyDescent="0.3">
      <c r="A116" s="2"/>
      <c r="B116" s="2"/>
      <c r="C116" s="2"/>
      <c r="D116" s="2"/>
      <c r="E116" s="2"/>
      <c r="F116" s="2"/>
      <c r="G116" s="2"/>
      <c r="H116" s="2"/>
      <c r="I116" s="2"/>
    </row>
    <row r="117" spans="1:9" x14ac:dyDescent="0.3">
      <c r="A117" s="2"/>
      <c r="B117" s="2"/>
      <c r="C117" s="2"/>
      <c r="D117" s="2"/>
      <c r="E117" s="2"/>
      <c r="F117" s="2"/>
      <c r="G117" s="2"/>
      <c r="H117" s="2"/>
      <c r="I117" s="2"/>
    </row>
    <row r="118" spans="1:9" x14ac:dyDescent="0.3">
      <c r="A118" s="2"/>
      <c r="B118" s="2"/>
      <c r="C118" s="2"/>
      <c r="D118" s="2"/>
      <c r="E118" s="2"/>
      <c r="F118" s="2"/>
      <c r="G118" s="2"/>
      <c r="H118" s="2"/>
      <c r="I118" s="2"/>
    </row>
    <row r="119" spans="1:9" x14ac:dyDescent="0.3">
      <c r="A119" s="2"/>
      <c r="B119" s="2"/>
      <c r="C119" s="2"/>
      <c r="D119" s="2"/>
      <c r="E119" s="2"/>
      <c r="F119" s="2"/>
      <c r="G119" s="2"/>
      <c r="H119" s="2"/>
      <c r="I119" s="2"/>
    </row>
    <row r="120" spans="1:9" x14ac:dyDescent="0.3">
      <c r="A120" s="2"/>
      <c r="B120" s="2"/>
      <c r="C120" s="2"/>
      <c r="D120" s="2"/>
      <c r="E120" s="2"/>
      <c r="F120" s="2"/>
      <c r="G120" s="2"/>
      <c r="H120" s="2"/>
      <c r="I120" s="2"/>
    </row>
    <row r="121" spans="1:9" x14ac:dyDescent="0.3">
      <c r="A121" s="2"/>
      <c r="B121" s="2"/>
      <c r="C121" s="2"/>
      <c r="D121" s="2"/>
      <c r="E121" s="2"/>
      <c r="F121" s="2"/>
      <c r="G121" s="2"/>
      <c r="H121" s="2"/>
      <c r="I121" s="2"/>
    </row>
    <row r="122" spans="1:9" x14ac:dyDescent="0.3">
      <c r="A122" s="2"/>
      <c r="B122" s="2"/>
      <c r="C122" s="2"/>
      <c r="D122" s="2"/>
      <c r="E122" s="2"/>
      <c r="F122" s="2"/>
      <c r="G122" s="2"/>
      <c r="H122" s="2"/>
      <c r="I122" s="2"/>
    </row>
    <row r="123" spans="1:9" x14ac:dyDescent="0.3">
      <c r="A123" s="2"/>
      <c r="B123" s="2"/>
      <c r="C123" s="2"/>
      <c r="D123" s="2"/>
      <c r="E123" s="2"/>
      <c r="F123" s="2"/>
      <c r="G123" s="2"/>
      <c r="H123" s="2"/>
      <c r="I123" s="2"/>
    </row>
    <row r="124" spans="1:9" x14ac:dyDescent="0.3">
      <c r="A124" s="2"/>
      <c r="B124" s="2"/>
      <c r="C124" s="2"/>
      <c r="D124" s="2"/>
      <c r="E124" s="2"/>
      <c r="F124" s="2"/>
      <c r="G124" s="2"/>
      <c r="H124" s="2"/>
      <c r="I124" s="2"/>
    </row>
    <row r="125" spans="1:9" x14ac:dyDescent="0.3">
      <c r="A125" s="2"/>
      <c r="B125" s="2"/>
      <c r="C125" s="2"/>
      <c r="D125" s="2"/>
      <c r="E125" s="2"/>
      <c r="F125" s="2"/>
      <c r="G125" s="2"/>
      <c r="H125" s="2"/>
      <c r="I125" s="2"/>
    </row>
    <row r="126" spans="1:9" x14ac:dyDescent="0.3">
      <c r="A126" s="2"/>
      <c r="B126" s="2"/>
      <c r="C126" s="2"/>
      <c r="D126" s="2"/>
      <c r="E126" s="2"/>
      <c r="F126" s="2"/>
      <c r="G126" s="2"/>
      <c r="H126" s="2"/>
      <c r="I126" s="2"/>
    </row>
    <row r="127" spans="1:9" x14ac:dyDescent="0.3">
      <c r="A127" s="2"/>
      <c r="B127" s="2"/>
      <c r="C127" s="2"/>
      <c r="D127" s="2"/>
      <c r="E127" s="2"/>
      <c r="F127" s="2"/>
      <c r="G127" s="2"/>
      <c r="H127" s="2"/>
      <c r="I127" s="2"/>
    </row>
    <row r="128" spans="1:9" x14ac:dyDescent="0.3">
      <c r="A128" s="2"/>
      <c r="B128" s="2"/>
      <c r="C128" s="2"/>
      <c r="D128" s="2"/>
      <c r="E128" s="2"/>
      <c r="F128" s="2"/>
      <c r="G128" s="2"/>
      <c r="H128" s="2"/>
      <c r="I128" s="2"/>
    </row>
    <row r="129" spans="1:9" x14ac:dyDescent="0.3">
      <c r="A129" s="2"/>
      <c r="B129" s="2"/>
      <c r="C129" s="2"/>
      <c r="D129" s="2"/>
      <c r="E129" s="2"/>
      <c r="F129" s="2"/>
      <c r="G129" s="2"/>
      <c r="H129" s="2"/>
      <c r="I129" s="2"/>
    </row>
    <row r="130" spans="1:9" x14ac:dyDescent="0.3">
      <c r="A130" s="2"/>
      <c r="B130" s="2"/>
      <c r="C130" s="2"/>
      <c r="D130" s="2"/>
      <c r="E130" s="2"/>
      <c r="F130" s="2"/>
      <c r="G130" s="2"/>
      <c r="H130" s="2"/>
      <c r="I130" s="2"/>
    </row>
    <row r="131" spans="1:9" x14ac:dyDescent="0.3">
      <c r="A131" s="2"/>
      <c r="B131" s="2"/>
      <c r="C131" s="2"/>
      <c r="D131" s="2"/>
      <c r="E131" s="2"/>
      <c r="F131" s="2"/>
      <c r="G131" s="2"/>
      <c r="H131" s="2"/>
      <c r="I131" s="2"/>
    </row>
    <row r="132" spans="1:9" x14ac:dyDescent="0.3">
      <c r="A132" s="2"/>
      <c r="B132" s="2"/>
      <c r="C132" s="2"/>
      <c r="D132" s="2"/>
      <c r="E132" s="2"/>
      <c r="F132" s="2"/>
      <c r="G132" s="2"/>
      <c r="H132" s="2"/>
      <c r="I132" s="2"/>
    </row>
    <row r="133" spans="1:9" x14ac:dyDescent="0.3">
      <c r="A133" s="2"/>
      <c r="B133" s="2"/>
      <c r="C133" s="2"/>
      <c r="D133" s="2"/>
      <c r="E133" s="2"/>
      <c r="F133" s="2"/>
      <c r="G133" s="2"/>
      <c r="H133" s="2"/>
      <c r="I133" s="2"/>
    </row>
    <row r="134" spans="1:9" x14ac:dyDescent="0.3">
      <c r="A134" s="2"/>
      <c r="B134" s="2"/>
      <c r="C134" s="2"/>
      <c r="D134" s="2"/>
      <c r="E134" s="2"/>
      <c r="F134" s="2"/>
      <c r="G134" s="2"/>
      <c r="H134" s="2"/>
      <c r="I134" s="2"/>
    </row>
    <row r="135" spans="1:9" x14ac:dyDescent="0.3">
      <c r="A135" s="2"/>
      <c r="B135" s="2"/>
      <c r="C135" s="2"/>
      <c r="D135" s="2"/>
      <c r="E135" s="2"/>
      <c r="F135" s="2"/>
      <c r="G135" s="2"/>
      <c r="H135" s="2"/>
      <c r="I135" s="2"/>
    </row>
    <row r="136" spans="1:9" x14ac:dyDescent="0.3">
      <c r="A136" s="2"/>
      <c r="B136" s="2"/>
      <c r="C136" s="2"/>
      <c r="D136" s="2"/>
      <c r="E136" s="2"/>
      <c r="F136" s="2"/>
      <c r="G136" s="2"/>
      <c r="H136" s="2"/>
      <c r="I136" s="2"/>
    </row>
    <row r="137" spans="1:9" x14ac:dyDescent="0.3">
      <c r="A137" s="2"/>
      <c r="B137" s="2"/>
      <c r="C137" s="2"/>
      <c r="D137" s="2"/>
      <c r="E137" s="2"/>
      <c r="F137" s="2"/>
      <c r="G137" s="2"/>
      <c r="H137" s="2"/>
      <c r="I137" s="2"/>
    </row>
    <row r="138" spans="1:9" x14ac:dyDescent="0.3">
      <c r="A138" s="2"/>
      <c r="B138" s="2"/>
      <c r="C138" s="2"/>
      <c r="D138" s="2"/>
      <c r="E138" s="2"/>
      <c r="F138" s="2"/>
      <c r="G138" s="2"/>
      <c r="H138" s="2"/>
      <c r="I138" s="2"/>
    </row>
    <row r="139" spans="1:9" x14ac:dyDescent="0.3">
      <c r="A139" s="2"/>
      <c r="B139" s="2"/>
      <c r="C139" s="2"/>
      <c r="D139" s="2"/>
      <c r="E139" s="2"/>
      <c r="F139" s="2"/>
      <c r="G139" s="2"/>
      <c r="H139" s="2"/>
      <c r="I139" s="2"/>
    </row>
    <row r="140" spans="1:9" x14ac:dyDescent="0.3">
      <c r="A140" s="2"/>
      <c r="B140" s="2"/>
      <c r="C140" s="2"/>
      <c r="D140" s="2"/>
      <c r="E140" s="2"/>
      <c r="F140" s="2"/>
      <c r="G140" s="2"/>
      <c r="H140" s="2"/>
      <c r="I140" s="2"/>
    </row>
    <row r="141" spans="1:9" x14ac:dyDescent="0.3">
      <c r="A141" s="2"/>
      <c r="B141" s="2"/>
      <c r="C141" s="2"/>
      <c r="D141" s="2"/>
      <c r="E141" s="2"/>
      <c r="F141" s="2"/>
      <c r="G141" s="2"/>
      <c r="H141" s="2"/>
      <c r="I141" s="2"/>
    </row>
    <row r="142" spans="1:9" x14ac:dyDescent="0.3">
      <c r="A142" s="2"/>
      <c r="B142" s="2"/>
      <c r="C142" s="2"/>
      <c r="D142" s="2"/>
      <c r="E142" s="2"/>
      <c r="F142" s="2"/>
      <c r="G142" s="2"/>
      <c r="H142" s="2"/>
      <c r="I142" s="2"/>
    </row>
    <row r="143" spans="1:9" x14ac:dyDescent="0.3">
      <c r="A143" s="2"/>
      <c r="B143" s="2"/>
      <c r="C143" s="2"/>
      <c r="D143" s="2"/>
      <c r="E143" s="2"/>
      <c r="F143" s="2"/>
      <c r="G143" s="2"/>
      <c r="H143" s="2"/>
      <c r="I143" s="2"/>
    </row>
    <row r="144" spans="1:9" x14ac:dyDescent="0.3">
      <c r="A144" s="2"/>
      <c r="B144" s="2"/>
      <c r="C144" s="2"/>
      <c r="D144" s="2"/>
      <c r="E144" s="2"/>
      <c r="F144" s="2"/>
      <c r="G144" s="2"/>
      <c r="H144" s="2"/>
      <c r="I144" s="2"/>
    </row>
    <row r="145" spans="1:9" x14ac:dyDescent="0.3">
      <c r="A145" s="2"/>
      <c r="B145" s="2"/>
      <c r="C145" s="2"/>
      <c r="D145" s="2"/>
      <c r="E145" s="2"/>
      <c r="F145" s="2"/>
      <c r="G145" s="2"/>
      <c r="H145" s="2"/>
      <c r="I145" s="2"/>
    </row>
    <row r="146" spans="1:9" x14ac:dyDescent="0.3">
      <c r="A146" s="2"/>
      <c r="B146" s="2"/>
      <c r="C146" s="2"/>
      <c r="D146" s="2"/>
      <c r="E146" s="2"/>
      <c r="F146" s="2"/>
      <c r="G146" s="2"/>
      <c r="H146" s="2"/>
      <c r="I146" s="2"/>
    </row>
    <row r="147" spans="1:9" x14ac:dyDescent="0.3">
      <c r="A147" s="2"/>
      <c r="B147" s="2"/>
      <c r="C147" s="2"/>
      <c r="D147" s="2"/>
      <c r="E147" s="2"/>
      <c r="F147" s="2"/>
      <c r="G147" s="2"/>
      <c r="H147" s="2"/>
      <c r="I147" s="2"/>
    </row>
    <row r="148" spans="1:9" x14ac:dyDescent="0.3">
      <c r="A148" s="2"/>
      <c r="B148" s="2"/>
      <c r="C148" s="2"/>
      <c r="D148" s="2"/>
      <c r="E148" s="2"/>
      <c r="F148" s="2"/>
      <c r="G148" s="2"/>
      <c r="H148" s="2"/>
      <c r="I148" s="2"/>
    </row>
    <row r="149" spans="1:9" x14ac:dyDescent="0.3">
      <c r="A149" s="2"/>
      <c r="B149" s="2"/>
      <c r="C149" s="2"/>
      <c r="D149" s="2"/>
      <c r="E149" s="2"/>
      <c r="F149" s="2"/>
      <c r="G149" s="2"/>
      <c r="H149" s="2"/>
      <c r="I149" s="2"/>
    </row>
    <row r="150" spans="1:9" x14ac:dyDescent="0.3">
      <c r="A150" s="2"/>
      <c r="B150" s="2"/>
      <c r="C150" s="2"/>
      <c r="D150" s="2"/>
      <c r="E150" s="2"/>
      <c r="F150" s="2"/>
      <c r="G150" s="2"/>
      <c r="H150" s="2"/>
      <c r="I150" s="2"/>
    </row>
    <row r="151" spans="1:9" x14ac:dyDescent="0.3">
      <c r="A151" s="2"/>
      <c r="B151" s="2"/>
      <c r="C151" s="2"/>
      <c r="D151" s="2"/>
      <c r="E151" s="2"/>
      <c r="F151" s="2"/>
      <c r="G151" s="2"/>
      <c r="H151" s="2"/>
      <c r="I151" s="2"/>
    </row>
    <row r="152" spans="1:9" x14ac:dyDescent="0.3">
      <c r="A152" s="2"/>
      <c r="B152" s="2"/>
      <c r="C152" s="2"/>
      <c r="D152" s="2"/>
      <c r="E152" s="2"/>
      <c r="F152" s="2"/>
      <c r="G152" s="2"/>
      <c r="H152" s="2"/>
      <c r="I152" s="2"/>
    </row>
    <row r="153" spans="1:9" x14ac:dyDescent="0.3">
      <c r="A153" s="2"/>
      <c r="B153" s="2"/>
      <c r="C153" s="2"/>
      <c r="D153" s="2"/>
      <c r="E153" s="2"/>
      <c r="F153" s="2"/>
      <c r="G153" s="2"/>
      <c r="H153" s="2"/>
      <c r="I153" s="2"/>
    </row>
    <row r="154" spans="1:9" x14ac:dyDescent="0.3">
      <c r="A154" s="2"/>
      <c r="B154" s="2"/>
      <c r="C154" s="2"/>
      <c r="D154" s="2"/>
      <c r="E154" s="2"/>
      <c r="F154" s="2"/>
      <c r="G154" s="2"/>
      <c r="H154" s="2"/>
      <c r="I154" s="2"/>
    </row>
    <row r="155" spans="1:9" x14ac:dyDescent="0.3">
      <c r="A155" s="2"/>
      <c r="B155" s="2"/>
      <c r="C155" s="2"/>
      <c r="D155" s="2"/>
      <c r="E155" s="2"/>
      <c r="F155" s="2"/>
      <c r="G155" s="2"/>
      <c r="H155" s="2"/>
      <c r="I155" s="2"/>
    </row>
    <row r="156" spans="1:9" x14ac:dyDescent="0.3">
      <c r="A156" s="2"/>
      <c r="B156" s="2"/>
      <c r="C156" s="2"/>
      <c r="D156" s="2"/>
      <c r="E156" s="2"/>
      <c r="F156" s="2"/>
      <c r="G156" s="2"/>
      <c r="H156" s="2"/>
      <c r="I156" s="2"/>
    </row>
    <row r="157" spans="1:9" x14ac:dyDescent="0.3">
      <c r="A157" s="2"/>
      <c r="B157" s="2"/>
      <c r="C157" s="2"/>
      <c r="D157" s="2"/>
      <c r="E157" s="2"/>
      <c r="F157" s="2"/>
      <c r="G157" s="2"/>
      <c r="H157" s="2"/>
      <c r="I157" s="2"/>
    </row>
    <row r="158" spans="1:9" x14ac:dyDescent="0.3">
      <c r="A158" s="2"/>
      <c r="B158" s="2"/>
      <c r="C158" s="2"/>
      <c r="D158" s="2"/>
      <c r="E158" s="2"/>
      <c r="F158" s="2"/>
      <c r="G158" s="2"/>
      <c r="H158" s="2"/>
      <c r="I158" s="2"/>
    </row>
    <row r="159" spans="1:9" x14ac:dyDescent="0.3">
      <c r="A159" s="2"/>
      <c r="B159" s="2"/>
      <c r="C159" s="2"/>
      <c r="D159" s="2"/>
      <c r="E159" s="2"/>
      <c r="F159" s="2"/>
      <c r="G159" s="2"/>
      <c r="H159" s="2"/>
      <c r="I159" s="2"/>
    </row>
    <row r="160" spans="1:9" x14ac:dyDescent="0.3">
      <c r="A160" s="2"/>
      <c r="B160" s="2"/>
      <c r="C160" s="2"/>
      <c r="D160" s="2"/>
      <c r="E160" s="2"/>
      <c r="F160" s="2"/>
      <c r="G160" s="2"/>
      <c r="H160" s="2"/>
      <c r="I160" s="2"/>
    </row>
    <row r="161" spans="1:9" x14ac:dyDescent="0.3">
      <c r="A161" s="2"/>
      <c r="B161" s="2"/>
      <c r="C161" s="2"/>
      <c r="D161" s="2"/>
      <c r="E161" s="2"/>
      <c r="F161" s="2"/>
      <c r="G161" s="2"/>
      <c r="H161" s="2"/>
      <c r="I161" s="2"/>
    </row>
    <row r="162" spans="1:9" x14ac:dyDescent="0.3">
      <c r="A162" s="2"/>
      <c r="B162" s="2"/>
      <c r="C162" s="2"/>
      <c r="D162" s="2"/>
      <c r="E162" s="2"/>
      <c r="F162" s="2"/>
      <c r="G162" s="2"/>
      <c r="H162" s="2"/>
      <c r="I162" s="2"/>
    </row>
    <row r="163" spans="1:9" x14ac:dyDescent="0.3">
      <c r="A163" s="2"/>
      <c r="B163" s="2"/>
      <c r="C163" s="2"/>
      <c r="D163" s="2"/>
      <c r="E163" s="2"/>
      <c r="F163" s="2"/>
      <c r="G163" s="2"/>
      <c r="H163" s="2"/>
      <c r="I163" s="2"/>
    </row>
    <row r="164" spans="1:9" x14ac:dyDescent="0.3">
      <c r="A164" s="2"/>
      <c r="B164" s="2"/>
      <c r="C164" s="2"/>
      <c r="D164" s="2"/>
      <c r="E164" s="2"/>
      <c r="F164" s="2"/>
      <c r="G164" s="2"/>
      <c r="H164" s="2"/>
      <c r="I164" s="2"/>
    </row>
    <row r="165" spans="1:9" x14ac:dyDescent="0.3">
      <c r="A165" s="2"/>
      <c r="B165" s="2"/>
      <c r="C165" s="2"/>
      <c r="D165" s="2"/>
      <c r="E165" s="2"/>
      <c r="F165" s="2"/>
      <c r="G165" s="2"/>
      <c r="H165" s="2"/>
      <c r="I165" s="2"/>
    </row>
    <row r="166" spans="1:9" x14ac:dyDescent="0.3">
      <c r="A166" s="2"/>
      <c r="B166" s="2"/>
      <c r="C166" s="2"/>
      <c r="D166" s="2"/>
      <c r="E166" s="2"/>
      <c r="F166" s="2"/>
      <c r="G166" s="2"/>
      <c r="H166" s="2"/>
      <c r="I166" s="2"/>
    </row>
    <row r="167" spans="1:9" x14ac:dyDescent="0.3">
      <c r="A167" s="2"/>
      <c r="B167" s="2"/>
      <c r="C167" s="2"/>
      <c r="D167" s="2"/>
      <c r="E167" s="2"/>
      <c r="F167" s="2"/>
      <c r="G167" s="2"/>
      <c r="H167" s="2"/>
      <c r="I167" s="2"/>
    </row>
    <row r="168" spans="1:9" x14ac:dyDescent="0.3">
      <c r="A168" s="2"/>
      <c r="B168" s="2"/>
      <c r="C168" s="2"/>
      <c r="D168" s="2"/>
      <c r="E168" s="2"/>
      <c r="F168" s="2"/>
      <c r="G168" s="2"/>
      <c r="H168" s="2"/>
      <c r="I168" s="2"/>
    </row>
    <row r="169" spans="1:9" x14ac:dyDescent="0.3">
      <c r="A169" s="2"/>
      <c r="B169" s="2"/>
      <c r="C169" s="2"/>
      <c r="D169" s="2"/>
      <c r="E169" s="2"/>
      <c r="F169" s="2"/>
      <c r="G169" s="2"/>
      <c r="H169" s="2"/>
      <c r="I169" s="2"/>
    </row>
    <row r="170" spans="1:9" x14ac:dyDescent="0.3">
      <c r="A170" s="2"/>
      <c r="B170" s="2"/>
      <c r="C170" s="2"/>
      <c r="D170" s="2"/>
      <c r="E170" s="2"/>
      <c r="F170" s="2"/>
      <c r="G170" s="2"/>
      <c r="H170" s="2"/>
      <c r="I170" s="2"/>
    </row>
    <row r="171" spans="1:9" x14ac:dyDescent="0.3">
      <c r="A171" s="2"/>
      <c r="B171" s="2"/>
      <c r="C171" s="2"/>
      <c r="D171" s="2"/>
      <c r="E171" s="2"/>
      <c r="F171" s="2"/>
      <c r="G171" s="2"/>
      <c r="H171" s="2"/>
      <c r="I171" s="2"/>
    </row>
    <row r="172" spans="1:9" x14ac:dyDescent="0.3">
      <c r="A172" s="2"/>
      <c r="B172" s="2"/>
      <c r="C172" s="2"/>
      <c r="D172" s="2"/>
      <c r="E172" s="2"/>
      <c r="F172" s="2"/>
      <c r="G172" s="2"/>
      <c r="H172" s="2"/>
      <c r="I172" s="2"/>
    </row>
    <row r="173" spans="1:9" x14ac:dyDescent="0.3">
      <c r="A173" s="2"/>
      <c r="B173" s="2"/>
      <c r="C173" s="2"/>
      <c r="D173" s="2"/>
      <c r="E173" s="2"/>
      <c r="F173" s="2"/>
      <c r="G173" s="2"/>
      <c r="H173" s="2"/>
      <c r="I173" s="2"/>
    </row>
    <row r="174" spans="1:9" x14ac:dyDescent="0.3">
      <c r="A174" s="2"/>
      <c r="B174" s="2"/>
      <c r="C174" s="2"/>
      <c r="D174" s="2"/>
      <c r="E174" s="2"/>
      <c r="F174" s="2"/>
      <c r="G174" s="2"/>
      <c r="H174" s="2"/>
      <c r="I174" s="2"/>
    </row>
    <row r="175" spans="1:9" x14ac:dyDescent="0.3">
      <c r="A175" s="2"/>
      <c r="B175" s="2"/>
      <c r="C175" s="2"/>
      <c r="D175" s="2"/>
      <c r="E175" s="2"/>
      <c r="F175" s="2"/>
      <c r="G175" s="2"/>
      <c r="H175" s="2"/>
      <c r="I175" s="2"/>
    </row>
    <row r="176" spans="1:9" x14ac:dyDescent="0.3">
      <c r="A176" s="2"/>
      <c r="B176" s="2"/>
      <c r="C176" s="2"/>
      <c r="D176" s="2"/>
      <c r="E176" s="2"/>
      <c r="F176" s="2"/>
      <c r="G176" s="2"/>
      <c r="H176" s="2"/>
      <c r="I176" s="2"/>
    </row>
    <row r="177" spans="1:9" x14ac:dyDescent="0.3">
      <c r="A177" s="2"/>
      <c r="B177" s="2"/>
      <c r="C177" s="2"/>
      <c r="D177" s="2"/>
      <c r="E177" s="2"/>
      <c r="F177" s="2"/>
      <c r="G177" s="2"/>
      <c r="H177" s="2"/>
      <c r="I177" s="2"/>
    </row>
    <row r="178" spans="1:9" x14ac:dyDescent="0.3">
      <c r="A178" s="2"/>
      <c r="B178" s="2"/>
      <c r="C178" s="2"/>
      <c r="D178" s="2"/>
      <c r="E178" s="2"/>
      <c r="F178" s="2"/>
      <c r="G178" s="2"/>
      <c r="H178" s="2"/>
      <c r="I178" s="2"/>
    </row>
    <row r="179" spans="1:9" x14ac:dyDescent="0.3">
      <c r="A179" s="2"/>
      <c r="B179" s="2"/>
      <c r="C179" s="2"/>
      <c r="D179" s="2"/>
      <c r="E179" s="2"/>
      <c r="F179" s="2"/>
      <c r="G179" s="2"/>
      <c r="H179" s="2"/>
      <c r="I179" s="2"/>
    </row>
    <row r="180" spans="1:9" x14ac:dyDescent="0.3">
      <c r="A180" s="2"/>
      <c r="B180" s="2"/>
      <c r="C180" s="2"/>
      <c r="D180" s="2"/>
      <c r="E180" s="2"/>
      <c r="F180" s="2"/>
      <c r="G180" s="2"/>
      <c r="H180" s="2"/>
      <c r="I180" s="2"/>
    </row>
    <row r="181" spans="1:9" x14ac:dyDescent="0.3">
      <c r="A181" s="2"/>
      <c r="B181" s="2"/>
      <c r="C181" s="2"/>
      <c r="D181" s="2"/>
      <c r="E181" s="2"/>
      <c r="F181" s="2"/>
      <c r="G181" s="2"/>
      <c r="H181" s="2"/>
      <c r="I181" s="2"/>
    </row>
    <row r="182" spans="1:9" x14ac:dyDescent="0.3">
      <c r="A182" s="2"/>
      <c r="B182" s="2"/>
      <c r="C182" s="2"/>
      <c r="D182" s="2"/>
      <c r="E182" s="2"/>
      <c r="F182" s="2"/>
      <c r="G182" s="2"/>
      <c r="H182" s="2"/>
      <c r="I182" s="2"/>
    </row>
    <row r="183" spans="1:9" x14ac:dyDescent="0.3">
      <c r="A183" s="2"/>
      <c r="B183" s="2"/>
      <c r="C183" s="2"/>
      <c r="D183" s="2"/>
      <c r="E183" s="2"/>
      <c r="F183" s="2"/>
      <c r="G183" s="2"/>
      <c r="H183" s="2"/>
      <c r="I183" s="2"/>
    </row>
    <row r="184" spans="1:9" x14ac:dyDescent="0.3">
      <c r="A184" s="2"/>
      <c r="B184" s="2"/>
      <c r="C184" s="2"/>
      <c r="D184" s="2"/>
      <c r="E184" s="2"/>
      <c r="F184" s="2"/>
      <c r="G184" s="2"/>
      <c r="H184" s="2"/>
      <c r="I184" s="2"/>
    </row>
    <row r="185" spans="1:9" x14ac:dyDescent="0.3">
      <c r="A185" s="2"/>
      <c r="B185" s="2"/>
      <c r="C185" s="2"/>
      <c r="D185" s="2"/>
      <c r="E185" s="2"/>
      <c r="F185" s="2"/>
      <c r="G185" s="2"/>
      <c r="H185" s="2"/>
      <c r="I185" s="2"/>
    </row>
    <row r="186" spans="1:9" x14ac:dyDescent="0.3">
      <c r="A186" s="2"/>
      <c r="B186" s="2"/>
      <c r="C186" s="2"/>
      <c r="D186" s="2"/>
      <c r="E186" s="2"/>
      <c r="F186" s="2"/>
      <c r="G186" s="2"/>
      <c r="H186" s="2"/>
      <c r="I186" s="2"/>
    </row>
    <row r="187" spans="1:9" x14ac:dyDescent="0.3">
      <c r="A187" s="2"/>
      <c r="B187" s="2"/>
      <c r="C187" s="2"/>
      <c r="D187" s="2"/>
      <c r="E187" s="2"/>
      <c r="F187" s="2"/>
      <c r="G187" s="2"/>
      <c r="H187" s="2"/>
      <c r="I187" s="2"/>
    </row>
    <row r="188" spans="1:9" x14ac:dyDescent="0.3">
      <c r="A188" s="2"/>
      <c r="B188" s="2"/>
      <c r="C188" s="2"/>
      <c r="D188" s="2"/>
      <c r="E188" s="2"/>
      <c r="F188" s="2"/>
      <c r="G188" s="2"/>
      <c r="H188" s="2"/>
      <c r="I188" s="2"/>
    </row>
    <row r="189" spans="1:9" x14ac:dyDescent="0.3">
      <c r="A189" s="2"/>
      <c r="B189" s="2"/>
      <c r="C189" s="2"/>
      <c r="D189" s="2"/>
      <c r="E189" s="2"/>
      <c r="F189" s="2"/>
      <c r="G189" s="2"/>
      <c r="H189" s="2"/>
      <c r="I189" s="2"/>
    </row>
    <row r="190" spans="1:9" x14ac:dyDescent="0.3">
      <c r="A190" s="2"/>
      <c r="B190" s="2"/>
      <c r="C190" s="2"/>
      <c r="D190" s="2"/>
      <c r="E190" s="2"/>
      <c r="F190" s="2"/>
      <c r="G190" s="2"/>
      <c r="H190" s="2"/>
      <c r="I190" s="2"/>
    </row>
    <row r="191" spans="1:9" x14ac:dyDescent="0.3">
      <c r="A191" s="2"/>
      <c r="B191" s="2"/>
      <c r="C191" s="2"/>
      <c r="D191" s="2"/>
      <c r="E191" s="2"/>
      <c r="F191" s="2"/>
      <c r="G191" s="2"/>
      <c r="H191" s="2"/>
      <c r="I191" s="2"/>
    </row>
    <row r="192" spans="1:9" x14ac:dyDescent="0.3">
      <c r="A192" s="2"/>
      <c r="B192" s="2"/>
      <c r="C192" s="2"/>
      <c r="D192" s="2"/>
      <c r="E192" s="2"/>
      <c r="F192" s="2"/>
      <c r="G192" s="2"/>
      <c r="H192" s="2"/>
      <c r="I192" s="2"/>
    </row>
    <row r="193" spans="1:9" x14ac:dyDescent="0.3">
      <c r="A193" s="2"/>
      <c r="B193" s="2"/>
      <c r="C193" s="2"/>
      <c r="D193" s="2"/>
      <c r="E193" s="2"/>
      <c r="F193" s="2"/>
      <c r="G193" s="2"/>
      <c r="H193" s="2"/>
      <c r="I193" s="2"/>
    </row>
    <row r="194" spans="1:9" x14ac:dyDescent="0.3">
      <c r="A194" s="2"/>
      <c r="B194" s="2"/>
      <c r="C194" s="2"/>
      <c r="D194" s="2"/>
      <c r="E194" s="2"/>
      <c r="F194" s="2"/>
      <c r="G194" s="2"/>
      <c r="H194" s="2"/>
      <c r="I194" s="2"/>
    </row>
    <row r="195" spans="1:9" x14ac:dyDescent="0.3">
      <c r="A195" s="2"/>
      <c r="B195" s="2"/>
      <c r="C195" s="2"/>
      <c r="D195" s="2"/>
      <c r="E195" s="2"/>
      <c r="F195" s="2"/>
      <c r="G195" s="2"/>
      <c r="H195" s="2"/>
      <c r="I195" s="2"/>
    </row>
    <row r="196" spans="1:9" x14ac:dyDescent="0.3">
      <c r="A196" s="2"/>
      <c r="B196" s="2"/>
      <c r="C196" s="2"/>
      <c r="D196" s="2"/>
      <c r="E196" s="2"/>
      <c r="F196" s="2"/>
      <c r="G196" s="2"/>
      <c r="H196" s="2"/>
      <c r="I196" s="2"/>
    </row>
    <row r="197" spans="1:9" x14ac:dyDescent="0.3">
      <c r="A197" s="2"/>
      <c r="B197" s="2"/>
      <c r="C197" s="2"/>
      <c r="D197" s="2"/>
      <c r="E197" s="2"/>
      <c r="F197" s="2"/>
      <c r="G197" s="2"/>
      <c r="H197" s="2"/>
      <c r="I197" s="2"/>
    </row>
    <row r="198" spans="1:9" x14ac:dyDescent="0.3">
      <c r="A198" s="2"/>
      <c r="B198" s="2"/>
      <c r="C198" s="2"/>
      <c r="D198" s="2"/>
      <c r="E198" s="2"/>
      <c r="F198" s="2"/>
      <c r="G198" s="2"/>
      <c r="H198" s="2"/>
      <c r="I198" s="2"/>
    </row>
    <row r="199" spans="1:9" x14ac:dyDescent="0.3">
      <c r="A199" s="2"/>
      <c r="B199" s="2"/>
      <c r="C199" s="2"/>
      <c r="D199" s="2"/>
      <c r="E199" s="2"/>
      <c r="F199" s="2"/>
      <c r="G199" s="2"/>
      <c r="H199" s="2"/>
      <c r="I199" s="2"/>
    </row>
    <row r="200" spans="1:9" x14ac:dyDescent="0.3">
      <c r="A200" s="2"/>
      <c r="B200" s="2"/>
      <c r="C200" s="2"/>
      <c r="D200" s="2"/>
      <c r="E200" s="2"/>
      <c r="F200" s="2"/>
      <c r="G200" s="2"/>
      <c r="H200" s="2"/>
      <c r="I200" s="2"/>
    </row>
  </sheetData>
  <autoFilter ref="A1:J200" xr:uid="{19B13473-F3C8-4D52-952D-36958DB36783}"/>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22DF3-2A0B-4C3F-BDE5-5998793A47FC}">
  <sheetPr codeName="Sheet2"/>
  <dimension ref="A3:I3"/>
  <sheetViews>
    <sheetView zoomScale="160" zoomScaleNormal="160" workbookViewId="0">
      <selection activeCell="E4" sqref="E4"/>
    </sheetView>
  </sheetViews>
  <sheetFormatPr defaultRowHeight="14.4" x14ac:dyDescent="0.3"/>
  <sheetData>
    <row r="3" spans="1:9" x14ac:dyDescent="0.3">
      <c r="A3">
        <f>Analysis_Pivots!C5</f>
        <v>6</v>
      </c>
      <c r="C3">
        <f>Analysis_Pivots!F5</f>
        <v>6</v>
      </c>
      <c r="E3">
        <f>IFERROR(A3 / C3, "")</f>
        <v>1</v>
      </c>
      <c r="G3">
        <f>Analysis_Pivots!I5</f>
        <v>6</v>
      </c>
      <c r="I3">
        <f>Analysis_Pivots!M11</f>
        <v>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52174-002A-4700-851D-6D5FC0E5DAED}">
  <sheetPr codeName="Sheet3"/>
  <dimension ref="B1:M11"/>
  <sheetViews>
    <sheetView zoomScaleNormal="100" workbookViewId="0">
      <selection activeCell="C5" sqref="C5"/>
    </sheetView>
  </sheetViews>
  <sheetFormatPr defaultRowHeight="14.4" x14ac:dyDescent="0.3"/>
  <cols>
    <col min="2" max="2" width="13.88671875" bestFit="1" customWidth="1"/>
    <col min="3" max="3" width="22.33203125" bestFit="1" customWidth="1"/>
    <col min="5" max="5" width="13.88671875" bestFit="1" customWidth="1"/>
    <col min="6" max="6" width="22.33203125" bestFit="1" customWidth="1"/>
    <col min="8" max="8" width="13.88671875" bestFit="1" customWidth="1"/>
    <col min="9" max="9" width="22.33203125" bestFit="1" customWidth="1"/>
    <col min="11" max="11" width="20.109375" bestFit="1" customWidth="1"/>
    <col min="12" max="12" width="15.5546875" bestFit="1" customWidth="1"/>
    <col min="13" max="14" width="10.77734375" bestFit="1" customWidth="1"/>
  </cols>
  <sheetData>
    <row r="1" spans="2:13" ht="27" customHeight="1" x14ac:dyDescent="0.3">
      <c r="B1" s="3" t="s">
        <v>37</v>
      </c>
      <c r="C1" t="s">
        <v>45</v>
      </c>
      <c r="E1" s="3" t="s">
        <v>37</v>
      </c>
      <c r="F1" t="s">
        <v>45</v>
      </c>
      <c r="H1" s="3" t="s">
        <v>37</v>
      </c>
      <c r="I1" t="s">
        <v>45</v>
      </c>
    </row>
    <row r="2" spans="2:13" ht="41.4" customHeight="1" x14ac:dyDescent="0.3"/>
    <row r="3" spans="2:13" x14ac:dyDescent="0.3">
      <c r="B3" s="3" t="s">
        <v>40</v>
      </c>
      <c r="C3" t="s">
        <v>42</v>
      </c>
      <c r="E3" s="3" t="s">
        <v>40</v>
      </c>
      <c r="F3" t="s">
        <v>42</v>
      </c>
      <c r="H3" s="3" t="s">
        <v>40</v>
      </c>
      <c r="I3" t="s">
        <v>42</v>
      </c>
      <c r="K3" s="3" t="s">
        <v>46</v>
      </c>
      <c r="L3" s="3" t="s">
        <v>44</v>
      </c>
    </row>
    <row r="4" spans="2:13" x14ac:dyDescent="0.3">
      <c r="B4" s="4" t="s">
        <v>35</v>
      </c>
      <c r="C4" s="5">
        <v>6</v>
      </c>
      <c r="E4" s="4" t="s">
        <v>17</v>
      </c>
      <c r="F4" s="5">
        <v>6</v>
      </c>
      <c r="H4" s="4" t="s">
        <v>43</v>
      </c>
      <c r="I4" s="5">
        <v>6</v>
      </c>
      <c r="K4" s="3" t="s">
        <v>40</v>
      </c>
      <c r="L4" t="s">
        <v>45</v>
      </c>
      <c r="M4" t="s">
        <v>41</v>
      </c>
    </row>
    <row r="5" spans="2:13" x14ac:dyDescent="0.3">
      <c r="B5" s="4" t="s">
        <v>41</v>
      </c>
      <c r="C5" s="5">
        <v>6</v>
      </c>
      <c r="E5" s="4" t="s">
        <v>41</v>
      </c>
      <c r="F5" s="5">
        <v>6</v>
      </c>
      <c r="H5" s="4" t="s">
        <v>41</v>
      </c>
      <c r="I5" s="5">
        <v>6</v>
      </c>
      <c r="K5" s="4">
        <v>-4.5</v>
      </c>
      <c r="L5" s="5">
        <v>1</v>
      </c>
      <c r="M5" s="5">
        <v>1</v>
      </c>
    </row>
    <row r="6" spans="2:13" x14ac:dyDescent="0.3">
      <c r="K6" s="4">
        <v>-3</v>
      </c>
      <c r="L6" s="5">
        <v>1</v>
      </c>
      <c r="M6" s="5">
        <v>1</v>
      </c>
    </row>
    <row r="7" spans="2:13" x14ac:dyDescent="0.3">
      <c r="K7" s="4">
        <v>-1.5</v>
      </c>
      <c r="L7" s="5">
        <v>1</v>
      </c>
      <c r="M7" s="5">
        <v>1</v>
      </c>
    </row>
    <row r="8" spans="2:13" x14ac:dyDescent="0.3">
      <c r="K8" s="4">
        <v>0</v>
      </c>
      <c r="L8" s="5">
        <v>1</v>
      </c>
      <c r="M8" s="5">
        <v>1</v>
      </c>
    </row>
    <row r="9" spans="2:13" x14ac:dyDescent="0.3">
      <c r="K9" s="4">
        <v>1.5</v>
      </c>
      <c r="L9" s="5">
        <v>1</v>
      </c>
      <c r="M9" s="5">
        <v>1</v>
      </c>
    </row>
    <row r="10" spans="2:13" x14ac:dyDescent="0.3">
      <c r="K10" s="4">
        <v>4</v>
      </c>
      <c r="L10" s="5">
        <v>1</v>
      </c>
      <c r="M10" s="5">
        <v>1</v>
      </c>
    </row>
    <row r="11" spans="2:13" x14ac:dyDescent="0.3">
      <c r="K11" s="4" t="s">
        <v>41</v>
      </c>
      <c r="L11" s="5">
        <v>6</v>
      </c>
      <c r="M11" s="5">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0FA10-C5D8-4540-97EA-8ADF10835710}">
  <sheetPr codeName="Sheet4"/>
  <dimension ref="K3"/>
  <sheetViews>
    <sheetView showGridLines="0" tabSelected="1" zoomScale="95" zoomScaleNormal="95" workbookViewId="0">
      <selection activeCell="S12" sqref="A1:XFD1048576"/>
    </sheetView>
  </sheetViews>
  <sheetFormatPr defaultRowHeight="14.4" x14ac:dyDescent="0.3"/>
  <cols>
    <col min="1" max="16384" width="8.88671875" style="7"/>
  </cols>
  <sheetData>
    <row r="3" spans="11:11" s="7" customFormat="1" ht="33.6" x14ac:dyDescent="0.65">
      <c r="K3" s="6" t="s">
        <v>47</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Analysis_Pivots</vt:lpstr>
      <vt:lpstr>Employee Attrition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 CHAURASIA</dc:creator>
  <cp:lastModifiedBy>PRIYA CHAURASIA</cp:lastModifiedBy>
  <dcterms:created xsi:type="dcterms:W3CDTF">2026-01-09T11:17:18Z</dcterms:created>
  <dcterms:modified xsi:type="dcterms:W3CDTF">2026-01-09T12:53:39Z</dcterms:modified>
</cp:coreProperties>
</file>